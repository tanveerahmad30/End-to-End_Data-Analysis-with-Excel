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TANVEER AHMAD\Desktop\excel projects\"/>
    </mc:Choice>
  </mc:AlternateContent>
  <xr:revisionPtr revIDLastSave="0" documentId="13_ncr:1_{55A2A68A-F5E8-4D8D-BF56-6E634984A34C}" xr6:coauthVersionLast="47" xr6:coauthVersionMax="47" xr10:uidLastSave="{00000000-0000-0000-0000-000000000000}"/>
  <bookViews>
    <workbookView xWindow="-108" yWindow="-108" windowWidth="23256" windowHeight="12456" activeTab="4" xr2:uid="{00000000-000D-0000-FFFF-FFFF00000000}"/>
  </bookViews>
  <sheets>
    <sheet name="products" sheetId="2" r:id="rId1"/>
    <sheet name="customers" sheetId="13" r:id="rId2"/>
    <sheet name="orders_clean_data" sheetId="17" r:id="rId3"/>
    <sheet name="Pivot_tables" sheetId="18" r:id="rId4"/>
    <sheet name="Dashboard" sheetId="19" r:id="rId5"/>
  </sheets>
  <definedNames>
    <definedName name="_xlnm._FilterDatabase" localSheetId="2" hidden="1">orders_clean_data!$A$1:$M$1001</definedName>
    <definedName name="_xlnm._FilterDatabase" localSheetId="0"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17" l="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51" i="17" a="1"/>
  <c r="O51" i="17" s="1"/>
  <c r="O159" i="17" a="1"/>
  <c r="O159" i="17" s="1"/>
  <c r="O273" i="17" a="1"/>
  <c r="O273" i="17" s="1"/>
  <c r="O303" i="17" a="1"/>
  <c r="O303" i="17" s="1"/>
  <c r="O317" i="17" a="1"/>
  <c r="O317" i="17" s="1"/>
  <c r="O351" i="17" a="1"/>
  <c r="O351" i="17" s="1"/>
  <c r="O503" i="17" a="1"/>
  <c r="O503" i="17" s="1"/>
  <c r="O511" i="17" a="1"/>
  <c r="O511" i="17" s="1"/>
  <c r="O537" i="17" a="1"/>
  <c r="O537" i="17" s="1"/>
  <c r="O543" i="17" a="1"/>
  <c r="O543" i="17" s="1"/>
  <c r="O569" i="17" a="1"/>
  <c r="O569" i="17" s="1"/>
  <c r="O575" i="17" a="1"/>
  <c r="O575" i="17" s="1"/>
  <c r="O601" i="17" a="1"/>
  <c r="O601" i="17" s="1"/>
  <c r="O607" i="17" a="1"/>
  <c r="O607" i="17" s="1"/>
  <c r="O633" i="17" a="1"/>
  <c r="O633" i="17" s="1"/>
  <c r="O639" i="17" a="1"/>
  <c r="O639" i="17" s="1"/>
  <c r="O665" i="17" a="1"/>
  <c r="O665" i="17" s="1"/>
  <c r="O671" i="17" a="1"/>
  <c r="O671" i="17" s="1"/>
  <c r="O697" i="17" a="1"/>
  <c r="O697" i="17" s="1"/>
  <c r="O703" i="17" a="1"/>
  <c r="O703" i="17" s="1"/>
  <c r="O729" i="17" a="1"/>
  <c r="O729" i="17" s="1"/>
  <c r="O735" i="17" a="1"/>
  <c r="O735" i="17" s="1"/>
  <c r="M53" i="17"/>
  <c r="M117" i="17"/>
  <c r="M181" i="17"/>
  <c r="M245" i="17"/>
  <c r="M309" i="17"/>
  <c r="M373" i="17"/>
  <c r="M437" i="17"/>
  <c r="M924" i="17"/>
  <c r="M972" i="17"/>
  <c r="M988"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J538" i="17"/>
  <c r="O538" i="17" s="1" a="1"/>
  <c r="O538" i="17" s="1"/>
  <c r="J539" i="17"/>
  <c r="O539" i="17" s="1" a="1"/>
  <c r="O539" i="17" s="1"/>
  <c r="J540" i="17"/>
  <c r="O540" i="17" s="1" a="1"/>
  <c r="O540" i="17" s="1"/>
  <c r="J541" i="17"/>
  <c r="O541" i="17" s="1" a="1"/>
  <c r="O541" i="17" s="1"/>
  <c r="J542" i="17"/>
  <c r="O542" i="17" s="1" a="1"/>
  <c r="O542" i="17" s="1"/>
  <c r="J543" i="17"/>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J570" i="17"/>
  <c r="O570" i="17" s="1" a="1"/>
  <c r="O570" i="17" s="1"/>
  <c r="J571" i="17"/>
  <c r="O571" i="17" s="1" a="1"/>
  <c r="O571" i="17" s="1"/>
  <c r="J572" i="17"/>
  <c r="O572" i="17" s="1" a="1"/>
  <c r="O572" i="17" s="1"/>
  <c r="J573" i="17"/>
  <c r="O573" i="17" s="1" a="1"/>
  <c r="O573" i="17" s="1"/>
  <c r="J574" i="17"/>
  <c r="O574" i="17" s="1" a="1"/>
  <c r="O574" i="17" s="1"/>
  <c r="J575" i="17"/>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J602" i="17"/>
  <c r="O602" i="17" s="1" a="1"/>
  <c r="O602" i="17" s="1"/>
  <c r="J603" i="17"/>
  <c r="O603" i="17" s="1" a="1"/>
  <c r="O603" i="17" s="1"/>
  <c r="J604" i="17"/>
  <c r="O604" i="17" s="1" a="1"/>
  <c r="O604" i="17" s="1"/>
  <c r="J605" i="17"/>
  <c r="O605" i="17" s="1" a="1"/>
  <c r="O605" i="17" s="1"/>
  <c r="J606" i="17"/>
  <c r="O606" i="17" s="1" a="1"/>
  <c r="O606" i="17" s="1"/>
  <c r="J607" i="17"/>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J634" i="17"/>
  <c r="O634" i="17" s="1" a="1"/>
  <c r="O634" i="17" s="1"/>
  <c r="J635" i="17"/>
  <c r="O635" i="17" s="1" a="1"/>
  <c r="O635" i="17" s="1"/>
  <c r="J636" i="17"/>
  <c r="O636" i="17" s="1" a="1"/>
  <c r="O636" i="17" s="1"/>
  <c r="J637" i="17"/>
  <c r="O637" i="17" s="1" a="1"/>
  <c r="O637" i="17" s="1"/>
  <c r="J638" i="17"/>
  <c r="O638" i="17" s="1" a="1"/>
  <c r="O638" i="17" s="1"/>
  <c r="J639" i="17"/>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J666" i="17"/>
  <c r="O666" i="17" s="1" a="1"/>
  <c r="O666" i="17" s="1"/>
  <c r="J667" i="17"/>
  <c r="O667" i="17" s="1" a="1"/>
  <c r="O667" i="17" s="1"/>
  <c r="J668" i="17"/>
  <c r="O668" i="17" s="1" a="1"/>
  <c r="O668" i="17" s="1"/>
  <c r="J669" i="17"/>
  <c r="O669" i="17" s="1" a="1"/>
  <c r="O669" i="17" s="1"/>
  <c r="J670" i="17"/>
  <c r="O670" i="17" s="1" a="1"/>
  <c r="O670" i="17" s="1"/>
  <c r="J671" i="17"/>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J698" i="17"/>
  <c r="O698" i="17" s="1" a="1"/>
  <c r="O698" i="17" s="1"/>
  <c r="J699" i="17"/>
  <c r="O699" i="17" s="1" a="1"/>
  <c r="O699" i="17" s="1"/>
  <c r="J700" i="17"/>
  <c r="O700" i="17" s="1" a="1"/>
  <c r="O700" i="17" s="1"/>
  <c r="J701" i="17"/>
  <c r="O701" i="17" s="1" a="1"/>
  <c r="O701" i="17" s="1"/>
  <c r="J702" i="17"/>
  <c r="O702" i="17" s="1" a="1"/>
  <c r="O702" i="17" s="1"/>
  <c r="J703" i="17"/>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J730" i="17"/>
  <c r="O730" i="17" s="1" a="1"/>
  <c r="O730" i="17" s="1"/>
  <c r="J731" i="17"/>
  <c r="O731" i="17" s="1" a="1"/>
  <c r="O731" i="17" s="1"/>
  <c r="J732" i="17"/>
  <c r="O732" i="17" s="1" a="1"/>
  <c r="O732" i="17" s="1"/>
  <c r="J733" i="17"/>
  <c r="O733" i="17" s="1" a="1"/>
  <c r="O733" i="17" s="1"/>
  <c r="J734" i="17"/>
  <c r="O734" i="17" s="1" a="1"/>
  <c r="O734" i="17" s="1"/>
  <c r="J735" i="17"/>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I2" i="17"/>
  <c r="N2" i="17" s="1" a="1"/>
  <c r="N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<sst xmlns="http://schemas.openxmlformats.org/spreadsheetml/2006/main" count="11131" uniqueCount="6225">
  <si>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</si>
  <si>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</si>
  <si>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</si>
  <si>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</si>
  <si>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</si>
  <si>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</si>
  <si>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</si>
  <si>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</si>
  <si>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</si>
  <si>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</si>
  <si>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</si>
  <si>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</si>
  <si>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</si>
  <si>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</si>
  <si>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</si>
  <si>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</si>
  <si>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</si>
  <si>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</si>
  <si>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</si>
  <si>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</si>
  <si>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</si>
  <si>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</si>
  <si>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</si>
  <si>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</si>
  <si>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</si>
  <si>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</si>
  <si>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</si>
  <si>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</si>
  <si>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</si>
  <si>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</si>
  <si>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</si>
  <si>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</si>
  <si>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</si>
  <si>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</si>
  <si>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</si>
  <si>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</si>
  <si>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</si>
  <si>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</si>
  <si>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</si>
  <si>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</si>
  <si>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</si>
  <si>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</si>
  <si>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</si>
  <si>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</si>
  <si>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</si>
  <si>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</si>
  <si>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</si>
  <si>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</si>
  <si>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</si>
  <si>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</si>
  <si>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</si>
  <si>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</si>
  <si>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</si>
  <si>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</si>
  <si>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</si>
  <si>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</si>
  <si>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</si>
  <si>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</si>
  <si>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</si>
  <si>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</si>
  <si>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</si>
  <si>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</si>
  <si>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</si>
  <si>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</si>
  <si>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</si>
  <si>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</si>
  <si>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</si>
  <si>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</si>
  <si>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</si>
  <si>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</si>
  <si>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</si>
  <si>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</si>
  <si>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</si>
  <si>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</si>
  <si>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</si>
  <si>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</si>
  <si>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</si>
  <si>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</si>
  <si>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</si>
  <si>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</si>
  <si>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</si>
  <si>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</si>
  <si>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</si>
  <si>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</si>
  <si>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</si>
  <si>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</si>
  <si>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</si>
  <si>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</si>
  <si>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</si>
  <si>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</si>
  <si>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</si>
  <si>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</si>
  <si>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</si>
  <si>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</si>
  <si>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</si>
  <si>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</si>
  <si>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</si>
  <si>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</si>
  <si>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</si>
  <si>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</si>
  <si>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</si>
  <si>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</si>
  <si>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</si>
  <si>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</si>
  <si>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</si>
  <si>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</si>
  <si>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</si>
  <si>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</si>
  <si>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</si>
  <si>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</si>
  <si>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</si>
  <si>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</si>
  <si>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</si>
  <si>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</si>
  <si>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</si>
  <si>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</si>
  <si>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</si>
  <si>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</si>
  <si>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</si>
  <si>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</si>
  <si>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</si>
  <si>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</si>
  <si>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</si>
  <si>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</si>
  <si>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</si>
  <si>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</si>
  <si>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</si>
  <si>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</si>
  <si>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</si>
  <si>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</si>
  <si>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</si>
  <si>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</si>
  <si>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</si>
  <si>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</si>
  <si>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</si>
  <si>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</si>
  <si>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</si>
  <si>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</si>
  <si>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</si>
  <si>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</si>
  <si>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</si>
  <si>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</si>
  <si>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</si>
  <si>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</si>
  <si>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</si>
  <si>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</si>
  <si>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</si>
  <si>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</si>
  <si>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</si>
  <si>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</si>
  <si>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</si>
  <si>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</si>
  <si>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</si>
  <si>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</si>
  <si>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</si>
  <si>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</si>
  <si>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</si>
  <si>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</si>
  <si>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</si>
  <si>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</si>
  <si>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</si>
  <si>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</si>
  <si>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</si>
  <si>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</si>
  <si>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</si>
  <si>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</si>
  <si>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</si>
  <si>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</si>
  <si>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</si>
  <si>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</si>
  <si>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</si>
  <si>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</si>
  <si>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</si>
  <si>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</si>
  <si>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</si>
  <si>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</si>
  <si>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</si>
  <si>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</si>
  <si>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</si>
  <si>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</si>
  <si>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</si>
  <si>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</si>
  <si>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</si>
  <si>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</si>
  <si>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</si>
  <si>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</si>
  <si>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</si>
  <si>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</si>
  <si>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</si>
  <si>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</si>
  <si>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</si>
  <si>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</si>
  <si>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</si>
  <si>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</si>
  <si>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</si>
  <si>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</si>
  <si>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</si>
  <si>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</si>
  <si>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</si>
  <si>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</si>
  <si>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</si>
  <si>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</si>
  <si>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</si>
  <si>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</si>
  <si>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</si>
  <si>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</si>
  <si>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</si>
  <si>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</si>
  <si>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</si>
  <si>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</si>
  <si>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</si>
  <si>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</si>
  <si>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</si>
  <si>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</si>
  <si>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</si>
  <si>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</si>
  <si>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</si>
  <si>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</si>
  <si>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</si>
  <si>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</si>
  <si>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</si>
  <si>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</si>
  <si>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</si>
  <si>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</si>
  <si>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</si>
  <si>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</si>
  <si>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</si>
  <si>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</si>
  <si>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</si>
  <si>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</si>
  <si>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</si>
  <si>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</si>
  <si>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</si>
  <si>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</si>
  <si>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</si>
  <si>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</si>
  <si>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</si>
  <si>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</si>
  <si>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</si>
  <si>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</si>
  <si>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</si>
  <si>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</si>
  <si>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</si>
  <si>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</si>
  <si>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</si>
  <si>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</si>
  <si>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</si>
  <si>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</si>
  <si>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</si>
  <si>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</si>
  <si>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</si>
  <si>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</si>
  <si>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</si>
  <si>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</si>
  <si>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</si>
  <si>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</si>
  <si>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</si>
  <si>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</si>
  <si>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</si>
  <si>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</si>
  <si>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</si>
  <si>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</si>
  <si>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</si>
  <si>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</si>
  <si>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</si>
  <si>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</si>
  <si>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</si>
  <si>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</si>
  <si>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</si>
  <si>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</si>
  <si>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</si>
  <si>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</si>
  <si>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</si>
  <si>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</si>
  <si>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</si>
  <si>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</si>
  <si>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</si>
  <si>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</si>
  <si>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</si>
  <si>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</si>
  <si>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</si>
  <si>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</si>
  <si>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</si>
  <si>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</si>
  <si>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</si>
  <si>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</si>
  <si>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</si>
  <si>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</si>
  <si>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</si>
  <si>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</si>
  <si>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</si>
  <si>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</si>
  <si>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</si>
  <si>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</si>
  <si>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</si>
  <si>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</si>
  <si>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</si>
  <si>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</si>
  <si>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</si>
  <si>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</si>
  <si>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</si>
  <si>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</si>
  <si>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</si>
  <si>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</si>
  <si>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</si>
  <si>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</si>
  <si>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</si>
  <si>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</si>
  <si>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</si>
  <si>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</si>
  <si>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</si>
  <si>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</si>
  <si>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</si>
  <si>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</si>
  <si>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</si>
  <si>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</si>
  <si>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</si>
  <si>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</si>
  <si>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</si>
  <si>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</si>
  <si>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</si>
  <si>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</si>
  <si>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</si>
  <si>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</si>
  <si>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</si>
  <si>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</si>
  <si>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</si>
  <si>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</si>
  <si>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</si>
  <si>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</si>
  <si>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</si>
  <si>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</si>
  <si>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</si>
  <si>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</si>
  <si>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</si>
  <si>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</si>
  <si>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</si>
  <si>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</si>
  <si>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</si>
  <si>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</si>
  <si>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</si>
  <si>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</si>
  <si>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</si>
  <si>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</si>
  <si>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</si>
  <si>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</si>
  <si>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</si>
  <si>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</si>
  <si>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</si>
  <si>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</si>
  <si>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</si>
  <si>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</si>
  <si>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</si>
  <si>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</si>
  <si>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</si>
  <si>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</si>
  <si>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</si>
  <si>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</si>
  <si>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</si>
  <si>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</si>
  <si>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</si>
  <si>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</si>
  <si>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</si>
  <si>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</si>
  <si>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</si>
  <si>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</si>
  <si>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</si>
  <si>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</si>
  <si>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</si>
  <si>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</si>
  <si>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</si>
  <si>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</si>
  <si>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</si>
  <si>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</si>
  <si>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</si>
  <si>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</si>
  <si>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</si>
  <si>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</si>
  <si>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</si>
  <si>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</si>
  <si>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</si>
  <si>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</si>
  <si>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</si>
  <si>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</si>
  <si>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</si>
  <si>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</si>
  <si>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</si>
  <si>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</si>
  <si>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</si>
  <si>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</si>
  <si>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</si>
  <si>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</si>
  <si>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</si>
  <si>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</si>
  <si>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</si>
  <si>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</si>
  <si>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</si>
  <si>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</si>
  <si>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</si>
  <si>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</si>
  <si>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</si>
  <si>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</si>
  <si>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</si>
  <si>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</si>
  <si>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</si>
  <si>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</si>
  <si>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</si>
  <si>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</si>
  <si>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</si>
  <si>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</si>
  <si>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</si>
  <si>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</si>
  <si>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</si>
  <si>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</si>
  <si>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</si>
  <si>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</si>
  <si>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</si>
  <si>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</si>
  <si>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</si>
  <si>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</si>
  <si>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</si>
  <si>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</si>
  <si>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</si>
  <si>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</si>
  <si>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</si>
  <si>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</si>
  <si>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</si>
  <si>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</si>
  <si>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</si>
  <si>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</si>
  <si>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</si>
  <si>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</si>
  <si>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</si>
  <si>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</si>
  <si>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</si>
  <si>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</si>
  <si>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</si>
  <si>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</si>
  <si>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</si>
  <si>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</si>
  <si>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</si>
  <si>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</si>
  <si>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</si>
  <si>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</si>
  <si>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</si>
  <si>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</si>
  <si>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</si>
  <si>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</si>
  <si>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</si>
  <si>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</si>
  <si>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</si>
  <si>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</si>
  <si>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</si>
  <si>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</si>
  <si>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</si>
  <si>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</si>
  <si>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</si>
  <si>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</si>
  <si>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</si>
  <si>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</si>
  <si>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</si>
  <si>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</si>
  <si>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</si>
  <si>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</si>
  <si>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</si>
  <si>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</si>
  <si>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</si>
  <si>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</si>
  <si>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</si>
  <si>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</si>
  <si>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</si>
  <si>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</si>
  <si>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</si>
  <si>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</si>
  <si>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</si>
  <si>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</si>
  <si>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</si>
  <si>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</si>
  <si>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</si>
  <si>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</si>
  <si>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</si>
  <si>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</si>
  <si>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</si>
  <si>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</si>
  <si>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</si>
  <si>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</si>
  <si>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</si>
  <si>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</si>
  <si>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</si>
  <si>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</si>
  <si>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</si>
  <si>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</si>
  <si>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</si>
  <si>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</si>
  <si>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</si>
  <si>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</si>
  <si>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</si>
  <si>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</si>
  <si>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</si>
  <si>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</si>
  <si>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</si>
  <si>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</si>
  <si>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</si>
  <si>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</si>
  <si>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</si>
  <si>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</si>
  <si>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</si>
  <si>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</si>
  <si>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</si>
  <si>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</si>
  <si>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</si>
  <si>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</si>
  <si>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</si>
  <si>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</si>
  <si>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</si>
  <si>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</si>
  <si>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</si>
  <si>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</si>
  <si>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</si>
  <si>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</si>
  <si>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</si>
  <si>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</si>
  <si>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</si>
  <si>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</si>
  <si>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</si>
  <si>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</si>
  <si>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</si>
  <si>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</si>
  <si>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</si>
  <si>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</si>
  <si>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</si>
  <si>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</si>
  <si>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</si>
  <si>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</si>
  <si>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</si>
  <si>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</si>
  <si>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</si>
  <si>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</si>
  <si>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</si>
  <si>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</si>
  <si>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</si>
  <si>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</si>
  <si>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</si>
  <si>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</si>
  <si>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</si>
  <si>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</si>
  <si>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</si>
  <si>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</si>
  <si>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</si>
  <si>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</si>
  <si>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</si>
  <si>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</si>
  <si>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</si>
  <si>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</si>
  <si>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</si>
  <si>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</si>
  <si>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</si>
  <si>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</si>
  <si>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</si>
  <si>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</si>
  <si>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</si>
  <si>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</si>
  <si>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</si>
  <si>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</si>
  <si>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</si>
  <si>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</si>
  <si>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</si>
  <si>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</si>
  <si>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</si>
  <si>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</si>
  <si>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</si>
  <si>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</si>
  <si>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</si>
  <si>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</si>
  <si>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</si>
  <si>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</si>
  <si>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</si>
  <si>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</si>
  <si>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</si>
  <si>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</si>
  <si>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</si>
  <si>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</si>
  <si>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</si>
  <si>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</si>
  <si>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</si>
  <si>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</si>
  <si>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</si>
  <si>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</si>
  <si>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</si>
  <si>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</si>
  <si>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</si>
  <si>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</si>
  <si>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</si>
  <si>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</si>
  <si>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</si>
  <si>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</si>
  <si>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</si>
  <si>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</si>
  <si>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</si>
  <si>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</si>
  <si>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</si>
  <si>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</si>
  <si>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</si>
  <si>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</si>
  <si>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</si>
  <si>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</si>
  <si>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</si>
  <si>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</si>
  <si>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</si>
  <si>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</si>
  <si>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</si>
  <si>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</si>
  <si>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</si>
  <si>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</si>
  <si>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</si>
  <si>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</si>
  <si>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</si>
  <si>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</si>
  <si>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</si>
  <si>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</si>
  <si>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</si>
  <si>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</si>
  <si>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</si>
  <si>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</si>
  <si>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</si>
  <si>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</si>
  <si>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</si>
  <si>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</si>
  <si>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</si>
  <si>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</si>
  <si>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</si>
  <si>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</si>
  <si>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</si>
  <si>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</si>
  <si>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</si>
  <si>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</si>
  <si>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</si>
  <si>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</si>
  <si>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</si>
  <si>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</si>
  <si>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</si>
  <si>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</si>
  <si>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</si>
  <si>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</si>
  <si>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</si>
  <si>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</si>
  <si>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</si>
  <si>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</si>
  <si>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</si>
  <si>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</si>
  <si>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</si>
  <si>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</si>
  <si>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</si>
  <si>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</si>
  <si>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</si>
  <si>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</si>
  <si>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</si>
  <si>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</si>
  <si>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</si>
  <si>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</si>
  <si>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</si>
  <si>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</si>
  <si>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</si>
  <si>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</si>
  <si>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</si>
  <si>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</si>
  <si>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</si>
  <si>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</si>
  <si>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</si>
  <si>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</si>
  <si>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</si>
  <si>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</si>
  <si>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</si>
  <si>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</si>
  <si>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</si>
  <si>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</si>
  <si>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</si>
  <si>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</si>
  <si>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</si>
  <si>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</si>
  <si>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</si>
  <si>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</si>
  <si>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</si>
  <si>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</si>
  <si>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</si>
  <si>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</si>
  <si>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</si>
  <si>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</si>
  <si>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</si>
  <si>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</si>
  <si>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</si>
  <si>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</si>
  <si>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</si>
  <si>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</si>
  <si>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</si>
  <si>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</si>
  <si>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</si>
  <si>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</si>
  <si>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</si>
  <si>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</si>
  <si>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</si>
  <si>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</si>
  <si>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</si>
  <si>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</si>
  <si>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</si>
  <si>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</si>
  <si>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</si>
  <si>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</si>
  <si>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</si>
  <si>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</si>
  <si>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</si>
  <si>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</si>
  <si>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</si>
  <si>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</si>
  <si>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</si>
  <si>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</si>
  <si>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</si>
  <si>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</si>
  <si>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</si>
  <si>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</si>
  <si>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</si>
  <si>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</si>
  <si>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</si>
  <si>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</si>
  <si>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</si>
  <si>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</si>
  <si>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</si>
  <si>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</si>
  <si>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</si>
  <si>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</si>
  <si>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</si>
  <si>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</si>
  <si>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</si>
  <si>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</si>
  <si>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</si>
  <si>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</si>
  <si>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</si>
  <si>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</si>
  <si>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</si>
  <si>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</si>
  <si>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</si>
  <si>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</si>
  <si>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</si>
  <si>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</si>
  <si>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</si>
  <si>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</si>
  <si>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</si>
  <si>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</si>
  <si>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</si>
  <si>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</si>
  <si>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</si>
  <si>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</si>
  <si>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</si>
  <si>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</si>
  <si>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</si>
  <si>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</si>
  <si>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</si>
  <si>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</si>
  <si>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</si>
  <si>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</si>
  <si>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</si>
  <si>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</si>
  <si>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</si>
  <si>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</si>
  <si>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</si>
  <si>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</si>
  <si>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</si>
  <si>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</si>
  <si>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</si>
  <si>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</si>
  <si>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</si>
  <si>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</si>
  <si>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</si>
  <si>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</si>
  <si>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</si>
  <si>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</si>
  <si>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</si>
  <si>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</si>
  <si>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</si>
  <si>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</si>
  <si>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</si>
  <si>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</si>
  <si>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</si>
  <si>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</si>
  <si>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</si>
  <si>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</si>
  <si>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</si>
  <si>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</si>
  <si>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</si>
  <si>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</si>
  <si>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</si>
  <si>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</si>
  <si>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</si>
  <si>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</si>
  <si>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</si>
  <si>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</si>
  <si>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</si>
  <si>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</si>
  <si>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</si>
  <si>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</si>
  <si>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</si>
  <si>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</si>
  <si>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</si>
  <si>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</si>
  <si>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</si>
  <si>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</si>
  <si>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</si>
  <si>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</si>
  <si>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</si>
  <si>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</si>
  <si>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</si>
  <si>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</si>
  <si>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</si>
  <si>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</si>
  <si>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</si>
  <si>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</si>
  <si>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</si>
  <si>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</si>
  <si>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</si>
  <si>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</si>
  <si>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</si>
  <si>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</si>
  <si>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</si>
  <si>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</si>
  <si>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</si>
  <si>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</si>
  <si>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</si>
  <si>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</si>
  <si>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</si>
  <si>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</si>
  <si>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</si>
  <si>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</si>
  <si>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</si>
  <si>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</si>
  <si>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</si>
  <si>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</si>
  <si>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</si>
  <si>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</si>
  <si>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</si>
  <si>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</si>
  <si>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</si>
  <si>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</si>
  <si>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</si>
  <si>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</si>
  <si>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</si>
  <si>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</si>
  <si>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</si>
  <si>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</si>
  <si>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</si>
  <si>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</si>
  <si>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</si>
  <si>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</si>
  <si>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</si>
  <si>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</si>
  <si>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</si>
  <si>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</si>
  <si>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</si>
  <si>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</si>
  <si>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</si>
  <si>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</si>
  <si>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</si>
  <si>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</si>
  <si>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</si>
  <si>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</si>
  <si>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</si>
  <si>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</si>
  <si>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</si>
  <si>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</si>
  <si>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</si>
  <si>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</si>
  <si>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</si>
  <si>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</si>
  <si>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</si>
  <si>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</si>
  <si>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</si>
  <si>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</si>
  <si>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</si>
  <si>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</si>
  <si>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</si>
  <si>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</si>
  <si>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</si>
  <si>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</si>
  <si>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</si>
  <si>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</si>
  <si>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</si>
  <si>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</si>
  <si>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</si>
  <si>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</si>
  <si>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</si>
  <si>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</si>
  <si>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</si>
  <si>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</si>
  <si>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</si>
  <si>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</si>
  <si>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</si>
  <si>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</si>
  <si>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</si>
  <si>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</si>
  <si>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</si>
  <si>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</si>
  <si>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</si>
  <si>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</si>
  <si>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</si>
  <si>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</si>
  <si>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</si>
  <si>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</si>
  <si>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</si>
  <si>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</si>
  <si>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</si>
  <si>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</si>
  <si>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</si>
  <si>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</si>
  <si>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</si>
  <si>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</si>
  <si>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</si>
  <si>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</si>
  <si>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</si>
  <si>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</si>
  <si>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</si>
  <si>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</si>
  <si>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</si>
  <si>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</si>
  <si>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</si>
  <si>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</si>
  <si>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</si>
  <si>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</si>
  <si>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</si>
  <si>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</si>
  <si>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</si>
  <si>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</si>
  <si>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</si>
  <si>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</si>
  <si>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</si>
  <si>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</si>
  <si>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</si>
  <si>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</si>
  <si>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</si>
  <si>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</si>
  <si>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</si>
  <si>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</si>
  <si>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</si>
  <si>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</si>
  <si>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</si>
  <si>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</si>
  <si>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</si>
  <si>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</si>
  <si>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</si>
  <si>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</si>
  <si>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</si>
  <si>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</si>
  <si>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</si>
  <si>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</si>
  <si>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</si>
  <si>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</si>
  <si>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</si>
  <si>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</si>
  <si>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</si>
  <si>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</si>
  <si>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</si>
  <si>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</si>
  <si>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</si>
  <si>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</si>
  <si>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</si>
  <si>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</si>
  <si>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</si>
  <si>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</si>
  <si>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</si>
  <si>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</si>
  <si>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</si>
  <si>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</si>
  <si>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</si>
  <si>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</si>
  <si>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</si>
  <si>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</si>
  <si>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</si>
  <si>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</si>
  <si>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</si>
  <si>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</si>
  <si>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</si>
  <si>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</si>
  <si>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</si>
  <si>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</si>
  <si>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</si>
  <si>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</si>
  <si>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</si>
  <si>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</si>
  <si>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</si>
  <si>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</si>
  <si>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</si>
  <si>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</si>
  <si>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</si>
  <si>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</si>
  <si>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</si>
  <si>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</si>
  <si>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</si>
  <si>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</si>
  <si>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</si>
  <si>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</si>
  <si>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</si>
  <si>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</si>
  <si>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</si>
  <si>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</si>
  <si>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</si>
  <si>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</si>
  <si>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</si>
  <si>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</si>
  <si>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</si>
  <si>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</si>
  <si>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</si>
  <si>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</si>
  <si>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</si>
  <si>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</si>
  <si>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</si>
  <si>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</si>
  <si>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</si>
  <si>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</si>
  <si>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</si>
  <si>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</si>
  <si>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</si>
  <si>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</si>
  <si>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</si>
  <si>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</si>
  <si>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</si>
  <si>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</si>
  <si>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</si>
  <si>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</si>
  <si>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</si>
  <si>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</si>
  <si>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</si>
  <si>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</si>
  <si>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</si>
  <si>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</si>
  <si>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</si>
  <si>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</si>
  <si>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</si>
  <si>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</si>
  <si>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</si>
  <si>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</si>
  <si>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</si>
  <si>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</si>
  <si>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</si>
  <si>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</si>
  <si>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</si>
  <si>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</si>
  <si>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</si>
  <si>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</si>
  <si>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</si>
  <si>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</si>
  <si>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</si>
  <si>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</si>
  <si>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</si>
  <si>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</si>
  <si>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</si>
  <si>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</si>
  <si>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</si>
  <si>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</si>
  <si>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</si>
  <si>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</si>
  <si>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</si>
  <si>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</si>
  <si>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</si>
  <si>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</si>
  <si>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</si>
  <si>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</si>
  <si>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</si>
  <si>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</si>
  <si>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</si>
  <si>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</si>
  <si>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</si>
  <si>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</si>
  <si>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</si>
  <si>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</si>
  <si>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</si>
  <si>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</si>
  <si>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</si>
  <si>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</si>
  <si>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</si>
  <si>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</si>
  <si>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</si>
  <si>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</si>
  <si>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</si>
  <si>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</si>
  <si>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</si>
  <si>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</si>
  <si>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</si>
  <si>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</si>
  <si>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</si>
  <si>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</si>
  <si>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</si>
  <si>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</si>
  <si>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</si>
  <si>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</si>
  <si>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</si>
  <si>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</si>
  <si>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</si>
  <si>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</si>
  <si>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</si>
  <si>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</si>
  <si>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</si>
  <si>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</si>
  <si>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</si>
  <si>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</si>
  <si>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</si>
  <si>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</si>
  <si>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</si>
  <si>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</si>
  <si>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</si>
  <si>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</si>
  <si>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</si>
  <si>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</si>
  <si>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</si>
  <si>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</si>
  <si>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</si>
  <si>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</si>
  <si>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</si>
  <si>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</si>
  <si>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</si>
  <si>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</si>
  <si>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</si>
  <si>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</si>
  <si>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</si>
  <si>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</si>
  <si>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</si>
  <si>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</si>
  <si>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</si>
  <si>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</si>
  <si>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</si>
  <si>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</si>
  <si>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</si>
  <si>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</si>
  <si>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</si>
  <si>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</si>
  <si>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</si>
  <si>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</si>
  <si>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</si>
  <si>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</si>
  <si>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</si>
  <si>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</si>
  <si>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</si>
  <si>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</si>
  <si>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</si>
  <si>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</si>
  <si>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</si>
  <si>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</si>
  <si>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</si>
  <si>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</si>
  <si>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</si>
  <si>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</si>
  <si>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</si>
  <si>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</si>
  <si>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</si>
  <si>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</si>
  <si>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</si>
  <si>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</si>
  <si>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</si>
  <si>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</si>
  <si>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</si>
  <si>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</si>
  <si>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</si>
  <si>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</si>
  <si>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</si>
  <si>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</si>
  <si>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</si>
  <si>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</si>
  <si>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</si>
  <si>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</si>
  <si>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</si>
  <si>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</si>
  <si>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</si>
  <si>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</si>
  <si>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</si>
  <si>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</si>
  <si>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</si>
  <si>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</si>
  <si>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</si>
  <si>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</si>
  <si>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</si>
  <si>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</si>
  <si>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</si>
  <si>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</si>
  <si>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</si>
  <si>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</si>
  <si>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</si>
  <si>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</si>
  <si>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</si>
  <si>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</si>
  <si>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</si>
  <si>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</si>
  <si>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</si>
  <si>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</si>
  <si>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</si>
  <si>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</si>
  <si>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</si>
  <si>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</si>
  <si>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</si>
  <si>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</si>
  <si>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</si>
  <si>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</si>
  <si>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</si>
  <si>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</si>
  <si>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</si>
  <si>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</si>
  <si>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</si>
  <si>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</si>
  <si>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</si>
  <si>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</si>
  <si>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</si>
  <si>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</si>
  <si>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</si>
  <si>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</si>
  <si>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</si>
  <si>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</si>
  <si>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</si>
  <si>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</si>
  <si>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</si>
  <si>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</si>
  <si>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</si>
  <si>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</si>
  <si>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</si>
  <si>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</si>
  <si>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</si>
  <si>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</si>
  <si>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</si>
  <si>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</si>
  <si>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</si>
  <si>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</si>
  <si>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</si>
  <si>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</si>
  <si>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</si>
  <si>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</si>
  <si>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</si>
  <si>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</si>
  <si>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</si>
  <si>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</si>
  <si>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</si>
  <si>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</si>
  <si>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</si>
  <si>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</si>
  <si>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</si>
  <si>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</si>
  <si>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</si>
  <si>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</si>
  <si>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</si>
  <si>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</si>
  <si>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</si>
  <si>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</si>
  <si>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</si>
  <si>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</si>
  <si>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</si>
  <si>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</si>
  <si>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</si>
  <si>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</si>
  <si>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</si>
  <si>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</si>
  <si>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</si>
  <si>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</si>
  <si>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</si>
  <si>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</si>
  <si>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</si>
  <si>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</si>
  <si>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</si>
  <si>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</si>
  <si>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</si>
  <si>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</si>
  <si>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</si>
  <si>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</si>
  <si>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</si>
  <si>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</si>
  <si>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</si>
  <si>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</si>
  <si>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</si>
  <si>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</si>
  <si>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</si>
  <si>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</si>
  <si>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</si>
  <si>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</si>
  <si>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</si>
  <si>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</si>
  <si>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</si>
  <si>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</si>
  <si>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</si>
  <si>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</si>
  <si>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</si>
  <si>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</si>
  <si>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</si>
  <si>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</si>
  <si>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</si>
  <si>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</si>
  <si>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</si>
  <si>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</si>
  <si>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</si>
  <si>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</si>
  <si>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</si>
  <si>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</si>
  <si>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</si>
  <si>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</si>
  <si>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</si>
  <si>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</si>
  <si>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</si>
  <si>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</si>
  <si>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</si>
  <si>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</si>
  <si>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</si>
  <si>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</si>
  <si>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</si>
  <si>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</si>
  <si>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</si>
  <si>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</si>
  <si>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</si>
  <si>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</si>
  <si>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</si>
  <si>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</si>
  <si>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</si>
  <si>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</si>
  <si>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</si>
  <si>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</si>
  <si>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</si>
  <si>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</si>
  <si>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</si>
  <si>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</si>
  <si>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</si>
  <si>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</si>
  <si>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</si>
  <si>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</si>
  <si>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</si>
  <si>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</si>
  <si>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</si>
  <si>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</si>
  <si>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</si>
  <si>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</si>
  <si>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</si>
  <si>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</si>
  <si>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</si>
  <si>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</si>
  <si>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</si>
  <si>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</si>
  <si>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</si>
  <si>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</si>
  <si>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</si>
  <si>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</si>
  <si>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</si>
  <si>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</si>
  <si>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</si>
  <si>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</si>
  <si>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</si>
  <si>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</si>
  <si>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</si>
  <si>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</si>
  <si>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</si>
  <si>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</si>
  <si>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</si>
  <si>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</si>
  <si>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</si>
  <si>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</si>
  <si>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</si>
  <si>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</si>
  <si>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</si>
  <si>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</si>
  <si>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</si>
  <si>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</si>
  <si>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</si>
  <si>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</si>
  <si>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</si>
  <si>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</si>
  <si>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</si>
  <si>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</si>
  <si>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</si>
  <si>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</si>
  <si>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</si>
  <si>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</si>
  <si>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</si>
  <si>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</si>
  <si>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</si>
  <si>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</si>
  <si>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</si>
  <si>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</si>
  <si>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</si>
  <si>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</si>
  <si>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</si>
  <si>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</si>
  <si>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</si>
  <si>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</si>
  <si>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</si>
  <si>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</si>
  <si>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</si>
  <si>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</si>
  <si>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</si>
  <si>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</si>
  <si>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</si>
  <si>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</si>
  <si>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</si>
  <si>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</si>
  <si>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</si>
  <si>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</si>
  <si>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</si>
  <si>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</si>
  <si>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</si>
  <si>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</si>
  <si>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</si>
  <si>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</si>
  <si>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</si>
  <si>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</si>
  <si>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</si>
  <si>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</si>
  <si>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</si>
  <si>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</si>
  <si>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</si>
  <si>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</si>
  <si>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</si>
  <si>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</si>
  <si>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</si>
  <si>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</si>
  <si>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</si>
  <si>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</si>
  <si>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</si>
  <si>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</si>
  <si>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</si>
  <si>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</si>
  <si>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</si>
  <si>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</si>
  <si>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</si>
  <si>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</si>
  <si>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</si>
  <si>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</si>
  <si>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</si>
  <si>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</si>
  <si>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</si>
  <si>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</si>
  <si>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</si>
  <si>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</si>
  <si>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</si>
  <si>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</si>
  <si>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</si>
  <si>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</si>
  <si>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</si>
  <si>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</si>
  <si>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</si>
  <si>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</si>
  <si>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</si>
  <si>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</si>
  <si>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</si>
  <si>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</si>
  <si>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</si>
  <si>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</si>
  <si>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</si>
  <si>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</si>
  <si>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</si>
  <si>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</si>
  <si>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</si>
  <si>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</si>
  <si>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</si>
  <si>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</si>
  <si>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</si>
  <si>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</si>
  <si>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</si>
  <si>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</si>
  <si>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</si>
  <si>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</si>
  <si>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</si>
  <si>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</si>
  <si>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</si>
  <si>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</si>
  <si>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</si>
  <si>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</si>
  <si>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</si>
  <si>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</si>
  <si>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</si>
  <si>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</si>
  <si>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</si>
  <si>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</si>
  <si>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</si>
  <si>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</si>
  <si>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</si>
  <si>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</si>
  <si>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</si>
  <si>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</si>
  <si>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</si>
  <si>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</si>
  <si>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</si>
  <si>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</si>
  <si>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</si>
  <si>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</si>
  <si>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</si>
  <si>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</si>
  <si>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</si>
  <si>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</si>
  <si>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</si>
  <si>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</si>
  <si>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</si>
  <si>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</si>
  <si>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</si>
  <si>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</si>
  <si>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</si>
  <si>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</si>
  <si>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</si>
  <si>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</si>
  <si>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</si>
  <si>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</si>
  <si>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</si>
  <si>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</si>
  <si>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</si>
  <si>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</si>
  <si>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</si>
  <si>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</si>
  <si>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</si>
  <si>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</si>
  <si>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</si>
  <si>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</si>
  <si>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</si>
  <si>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</si>
  <si>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</si>
  <si>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</si>
  <si>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</si>
  <si>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</si>
  <si>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</si>
  <si>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</si>
  <si>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</si>
  <si>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</si>
  <si>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</si>
  <si>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</si>
  <si>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</si>
  <si>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</si>
  <si>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</si>
  <si>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</si>
  <si>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</si>
  <si>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</si>
  <si>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</si>
  <si>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</si>
  <si>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</si>
  <si>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</si>
  <si>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</si>
  <si>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</si>
  <si>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</si>
  <si>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</si>
  <si>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</si>
  <si>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</si>
  <si>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</si>
  <si>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</si>
  <si>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</si>
  <si>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</si>
  <si>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</si>
  <si>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</si>
  <si>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</si>
  <si>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</si>
  <si>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</si>
  <si>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</si>
  <si>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</si>
  <si>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</si>
  <si>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</si>
  <si>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</si>
  <si>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</si>
  <si>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</si>
  <si>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</si>
  <si>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</si>
  <si>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</si>
  <si>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</si>
  <si>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</si>
  <si>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</si>
  <si>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</si>
  <si>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</si>
  <si>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</si>
  <si>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</si>
  <si>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</si>
  <si>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</si>
  <si>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</si>
  <si>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</si>
  <si>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</si>
  <si>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</si>
  <si>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</si>
  <si>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</si>
  <si>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</si>
  <si>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</si>
  <si>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</si>
  <si>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</si>
  <si>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</si>
  <si>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</si>
  <si>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</si>
  <si>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</si>
  <si>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</si>
  <si>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</si>
  <si>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</si>
  <si>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</si>
  <si>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</si>
  <si>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</si>
  <si>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</si>
  <si>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</si>
  <si>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</si>
  <si>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</si>
  <si>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</si>
  <si>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</si>
  <si>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</si>
  <si>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</si>
  <si>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</si>
  <si>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</si>
  <si>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</si>
  <si>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</si>
  <si>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</si>
  <si>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</si>
  <si>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</si>
  <si>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</si>
  <si>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</si>
  <si>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</si>
  <si>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</si>
  <si>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</si>
  <si>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</si>
  <si>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</si>
  <si>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</si>
  <si>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</si>
  <si>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</si>
  <si>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</si>
  <si>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</si>
  <si>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</si>
  <si>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</si>
  <si>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</si>
  <si>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</si>
  <si>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</si>
  <si>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</si>
  <si>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</si>
  <si>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</si>
  <si>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</si>
  <si>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</si>
  <si>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</si>
  <si>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</si>
  <si>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</si>
  <si>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</si>
  <si>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</si>
  <si>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</si>
  <si>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</si>
  <si>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</si>
  <si>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</si>
  <si>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</si>
  <si>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</si>
  <si>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</si>
  <si>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</si>
  <si>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</si>
  <si>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</si>
  <si>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</si>
  <si>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</si>
  <si>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</si>
  <si>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</si>
  <si>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</si>
  <si>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</si>
  <si>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</si>
  <si>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</si>
  <si>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</si>
  <si>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</si>
  <si>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</si>
  <si>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</si>
  <si>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</si>
  <si>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</si>
  <si>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</si>
  <si>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</si>
  <si>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</si>
  <si>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</si>
  <si>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</si>
  <si>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</si>
  <si>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</si>
  <si>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</si>
  <si>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</si>
  <si>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</si>
  <si>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</si>
  <si>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</si>
  <si>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</si>
  <si>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</si>
  <si>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</si>
  <si>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</si>
  <si>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</si>
  <si>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</si>
  <si>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</si>
  <si>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</si>
  <si>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</si>
  <si>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</si>
  <si>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</si>
  <si>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</si>
  <si>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</si>
  <si>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</si>
  <si>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</si>
  <si>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</si>
  <si>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</si>
  <si>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</si>
  <si>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</si>
  <si>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</si>
  <si>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</si>
  <si>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</si>
  <si>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</si>
  <si>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</si>
  <si>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</si>
  <si>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</si>
  <si>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</si>
  <si>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</si>
  <si>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</si>
  <si>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</si>
  <si>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</si>
  <si>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</si>
  <si>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</si>
  <si>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</si>
  <si>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</si>
  <si>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</si>
  <si>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</si>
  <si>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</si>
  <si>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</si>
  <si>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</si>
  <si>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</si>
  <si>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</si>
  <si>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</si>
  <si>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</si>
  <si>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</si>
  <si>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</si>
  <si>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</si>
  <si>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</si>
  <si>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</si>
  <si>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</si>
  <si>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</si>
  <si>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</si>
  <si>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</si>
  <si>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</si>
  <si>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</si>
  <si>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</si>
  <si>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</si>
  <si>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</si>
  <si>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</si>
  <si>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</si>
  <si>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</si>
  <si>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</si>
  <si>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</si>
  <si>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</si>
  <si>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</si>
  <si>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</si>
  <si>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</si>
  <si>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</si>
  <si>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</si>
  <si>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</si>
  <si>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</si>
  <si>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</si>
  <si>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</si>
  <si>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</si>
  <si>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</si>
  <si>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</si>
  <si>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</si>
  <si>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</si>
  <si>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</si>
  <si>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</si>
  <si>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</si>
  <si>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</si>
  <si>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</si>
  <si>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</si>
  <si>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</si>
  <si>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</si>
  <si>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</si>
  <si>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</si>
  <si>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</si>
  <si>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</si>
  <si>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</si>
  <si>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</si>
  <si>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</si>
  <si>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</si>
  <si>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</si>
  <si>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</si>
  <si>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</si>
  <si>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</si>
  <si>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</si>
  <si>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</si>
  <si>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</si>
  <si>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</si>
  <si>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</si>
  <si>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</si>
  <si>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</si>
  <si>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</si>
  <si>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</si>
  <si>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</si>
  <si>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</si>
  <si>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</si>
  <si>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</si>
  <si>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</si>
  <si>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</si>
  <si>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</si>
  <si>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</si>
  <si>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</si>
  <si>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</si>
  <si>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</si>
  <si>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</si>
  <si>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</si>
  <si>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</si>
  <si>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</si>
  <si>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</si>
  <si>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</si>
  <si>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</si>
  <si>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</si>
  <si>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</si>
  <si>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</si>
  <si>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</si>
  <si>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</si>
  <si>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</si>
  <si>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</si>
  <si>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</si>
  <si>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</si>
  <si>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</si>
  <si>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</si>
  <si>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</si>
  <si>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</si>
  <si>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</si>
  <si>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</si>
  <si>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</si>
  <si>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</si>
  <si>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</si>
  <si>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</si>
  <si>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</si>
  <si>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</si>
  <si>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</si>
  <si>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</si>
  <si>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</si>
  <si>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</si>
  <si>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</si>
  <si>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</si>
  <si>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</si>
  <si>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</si>
  <si>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</si>
  <si>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</si>
  <si>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</si>
  <si>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</si>
  <si>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</si>
  <si>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</si>
  <si>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</si>
  <si>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</si>
  <si>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</si>
  <si>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</si>
  <si>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</si>
  <si>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</si>
  <si>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</si>
  <si>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</si>
  <si>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</si>
  <si>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</si>
  <si>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</si>
  <si>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</si>
  <si>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</si>
  <si>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</si>
  <si>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</si>
  <si>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</si>
  <si>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</si>
  <si>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</si>
  <si>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</si>
  <si>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</si>
  <si>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</si>
  <si>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</si>
  <si>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</si>
  <si>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</si>
  <si>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</si>
  <si>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</si>
  <si>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</si>
  <si>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</si>
  <si>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</si>
  <si>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</si>
  <si>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</si>
  <si>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</si>
  <si>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</si>
  <si>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</si>
  <si>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</si>
  <si>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</si>
  <si>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</si>
  <si>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</si>
  <si>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</si>
  <si>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</si>
  <si>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</si>
  <si>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</si>
  <si>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</si>
  <si>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</si>
  <si>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</si>
  <si>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</si>
  <si>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</si>
  <si>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</si>
  <si>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</si>
  <si>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</si>
  <si>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</si>
  <si>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</si>
  <si>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</si>
  <si>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</si>
  <si>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</si>
  <si>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</si>
  <si>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</si>
  <si>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</si>
  <si>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</si>
  <si>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</si>
  <si>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</si>
  <si>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</si>
  <si>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</si>
  <si>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</si>
  <si>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</si>
  <si>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</si>
  <si>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</si>
  <si>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</si>
  <si>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</si>
  <si>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</si>
  <si>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</si>
  <si>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</si>
  <si>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</si>
  <si>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</si>
  <si>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</si>
  <si>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</si>
  <si>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</si>
  <si>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</si>
  <si>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</si>
  <si>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</si>
  <si>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</si>
  <si>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</si>
  <si>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</si>
  <si>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</si>
  <si>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</si>
  <si>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</si>
  <si>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</si>
  <si>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</si>
  <si>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</si>
  <si>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</si>
  <si>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</si>
  <si>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</si>
  <si>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</si>
  <si>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</si>
  <si>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</si>
  <si>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</si>
  <si>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</si>
  <si>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</si>
  <si>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</si>
  <si>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</si>
  <si>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</si>
  <si>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</si>
  <si>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</si>
  <si>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</si>
  <si>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</si>
  <si>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</si>
  <si>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</si>
  <si>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</si>
  <si>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</si>
  <si>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</si>
  <si>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</si>
  <si>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</si>
  <si>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</si>
  <si>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</si>
  <si>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</si>
  <si>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</si>
  <si>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</si>
  <si>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</si>
  <si>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</si>
  <si>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</si>
  <si>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</si>
  <si>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</si>
  <si>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</si>
  <si>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</si>
  <si>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</si>
  <si>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</si>
  <si>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</si>
  <si>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</si>
  <si>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</si>
  <si>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</si>
  <si>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</si>
  <si>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</si>
  <si>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</si>
  <si>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</si>
  <si>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</si>
  <si>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</si>
  <si>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</si>
  <si>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</si>
  <si>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</si>
  <si>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</si>
  <si>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</si>
  <si>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</si>
  <si>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</si>
  <si>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</si>
  <si>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</si>
  <si>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</si>
  <si>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</si>
  <si>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</si>
  <si>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</si>
  <si>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</si>
  <si>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</si>
  <si>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</si>
  <si>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</si>
  <si>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</si>
  <si>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</si>
  <si>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</si>
  <si>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</si>
  <si>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</si>
  <si>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</si>
  <si>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</si>
  <si>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</si>
  <si>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</si>
  <si>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</si>
  <si>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</si>
  <si>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</si>
  <si>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</si>
  <si>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</si>
  <si>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</si>
  <si>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</si>
  <si>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</si>
  <si>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</si>
  <si>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</si>
  <si>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</si>
  <si>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</si>
  <si>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</si>
  <si>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</si>
  <si>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</si>
  <si>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</si>
  <si>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</si>
  <si>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</si>
  <si>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</si>
  <si>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</si>
  <si>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</si>
  <si>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</si>
  <si>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</si>
  <si>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</si>
  <si>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</si>
  <si>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</si>
  <si>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</si>
  <si>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</si>
  <si>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</si>
  <si>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</si>
  <si>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</si>
  <si>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</si>
  <si>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</si>
  <si>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</si>
  <si>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</si>
  <si>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</si>
  <si>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</si>
  <si>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</si>
  <si>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</si>
  <si>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</si>
  <si>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</si>
  <si>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</si>
  <si>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</si>
  <si>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</si>
  <si>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</si>
  <si>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</si>
  <si>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</si>
  <si>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</si>
  <si>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</si>
  <si>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</si>
  <si>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</si>
  <si>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</si>
  <si>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</si>
  <si>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</si>
  <si>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</si>
  <si>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</si>
  <si>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</si>
  <si>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</si>
  <si>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</si>
  <si>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</si>
  <si>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</si>
  <si>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</si>
  <si>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</si>
  <si>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</si>
  <si>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</si>
  <si>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</si>
  <si>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</si>
  <si>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</si>
  <si>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</si>
  <si>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</si>
  <si>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</si>
  <si>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</si>
  <si>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</si>
  <si>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</si>
  <si>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</si>
  <si>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</si>
  <si>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</si>
  <si>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</si>
  <si>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</si>
  <si>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</si>
  <si>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</si>
  <si>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</si>
  <si>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</si>
  <si>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</si>
  <si>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</si>
  <si>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</si>
  <si>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</si>
  <si>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</si>
  <si>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</si>
  <si>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</si>
  <si>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</si>
  <si>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</si>
  <si>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</si>
  <si>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</si>
  <si>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</si>
  <si>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</si>
  <si>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</si>
  <si>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</si>
  <si>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</si>
  <si>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</si>
  <si>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</si>
  <si>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</si>
  <si>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</si>
  <si>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</si>
  <si>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</si>
  <si>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</si>
  <si>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</si>
  <si>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</si>
  <si>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</si>
  <si>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</si>
  <si>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</si>
  <si>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</si>
  <si>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</si>
  <si>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</si>
  <si>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</si>
  <si>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</si>
  <si>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</si>
  <si>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</si>
  <si>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</si>
  <si>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</si>
  <si>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</si>
  <si>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</si>
  <si>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</si>
  <si>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</si>
  <si>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</si>
  <si>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</si>
  <si>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</si>
  <si>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</si>
  <si>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</si>
  <si>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</si>
  <si>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</si>
  <si>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</si>
  <si>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</si>
  <si>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</si>
  <si>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</si>
  <si>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</si>
  <si>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</si>
  <si>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</si>
  <si>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</si>
  <si>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</si>
  <si>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</si>
  <si>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</si>
  <si>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</si>
  <si>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</si>
  <si>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</si>
  <si>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</si>
  <si>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</si>
  <si>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</si>
  <si>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</si>
  <si>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</si>
  <si>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</si>
  <si>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</si>
  <si>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</si>
  <si>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</si>
  <si>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</si>
  <si>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</si>
  <si>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</si>
  <si>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</si>
  <si>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</si>
  <si>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</si>
  <si>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</si>
  <si>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</si>
  <si>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</si>
  <si>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</si>
  <si>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</si>
  <si>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</si>
  <si>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</si>
  <si>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</si>
  <si>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</si>
  <si>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</si>
  <si>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</si>
  <si>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</si>
  <si>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</si>
  <si>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</si>
  <si>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</si>
  <si>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</si>
  <si>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</si>
  <si>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</si>
  <si>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</si>
  <si>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</si>
  <si>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</si>
  <si>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</si>
  <si>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</si>
  <si>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</si>
  <si>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</si>
  <si>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</si>
  <si>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</si>
  <si>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</si>
  <si>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</si>
  <si>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</si>
  <si>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</si>
  <si>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</si>
  <si>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</si>
  <si>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</si>
  <si>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</si>
  <si>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</si>
  <si>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</si>
  <si>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</si>
  <si>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</si>
  <si>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</si>
  <si>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</si>
  <si>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</si>
  <si>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</si>
  <si>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</si>
  <si>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</si>
  <si>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</si>
  <si>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</si>
  <si>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</si>
  <si>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</si>
  <si>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</si>
  <si>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</si>
  <si>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</si>
  <si>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</si>
  <si>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</si>
  <si>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</si>
  <si>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</si>
  <si>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</si>
  <si>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</si>
  <si>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</si>
  <si>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</si>
  <si>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</si>
  <si>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</si>
  <si>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</si>
  <si>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</si>
  <si>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</si>
  <si>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</si>
  <si>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</si>
  <si>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</si>
  <si>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</si>
  <si>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</si>
  <si>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</si>
  <si>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</si>
  <si>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</si>
  <si>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</si>
  <si>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</si>
  <si>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</si>
  <si>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</si>
  <si>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</si>
  <si>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</si>
  <si>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</si>
  <si>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</si>
  <si>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</si>
  <si>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</si>
  <si>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</si>
  <si>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</si>
  <si>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</si>
  <si>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</si>
  <si>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</si>
  <si>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</si>
  <si>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</si>
  <si>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</si>
  <si>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</si>
  <si>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</si>
  <si>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</si>
  <si>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</si>
  <si>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</si>
  <si>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</si>
  <si>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</si>
  <si>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</si>
  <si>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</si>
  <si>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</si>
  <si>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</si>
  <si>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</si>
  <si>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</si>
  <si>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</si>
  <si>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</si>
  <si>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</si>
  <si>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</si>
  <si>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</si>
  <si>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</si>
  <si>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</si>
  <si>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</si>
  <si>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</si>
  <si>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</si>
  <si>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</si>
  <si>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</si>
  <si>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</si>
  <si>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</si>
  <si>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</si>
  <si>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</si>
  <si>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</si>
  <si>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</si>
  <si>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</si>
  <si>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</si>
  <si>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</si>
  <si>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</si>
  <si>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</si>
  <si>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</si>
  <si>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</si>
  <si>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</si>
  <si>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</si>
  <si>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</si>
  <si>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</si>
  <si>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</si>
  <si>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</si>
  <si>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</si>
  <si>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</si>
  <si>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</si>
  <si>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</si>
  <si>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</si>
  <si>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</si>
  <si>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</si>
  <si>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</si>
  <si>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</si>
  <si>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</si>
  <si>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</si>
  <si>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</si>
  <si>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</si>
  <si>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</si>
  <si>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</si>
  <si>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</si>
  <si>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</si>
  <si>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</si>
  <si>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</si>
  <si>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</si>
  <si>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</si>
  <si>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</si>
  <si>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</si>
  <si>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</si>
  <si>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</si>
  <si>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</si>
  <si>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</si>
  <si>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</si>
  <si>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</si>
  <si>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</si>
  <si>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</si>
  <si>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</si>
  <si>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</si>
  <si>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</si>
  <si>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</si>
  <si>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</si>
  <si>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</si>
  <si>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</si>
  <si>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</si>
  <si>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</si>
  <si>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</si>
  <si>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</si>
  <si>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</si>
  <si>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</si>
  <si>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</si>
  <si>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</si>
  <si>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</si>
  <si>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</si>
  <si>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</si>
  <si>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</si>
  <si>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</si>
  <si>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</si>
  <si>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</si>
  <si>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</si>
  <si>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</si>
  <si>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</si>
  <si>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</si>
  <si>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</si>
  <si>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</si>
  <si>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</si>
  <si>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</si>
  <si>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</si>
  <si>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</si>
  <si>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</si>
  <si>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</si>
  <si>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</si>
  <si>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</si>
  <si>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</si>
  <si>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</si>
  <si>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</si>
  <si>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</si>
  <si>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</si>
  <si>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</si>
  <si>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</si>
  <si>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</si>
  <si>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</si>
  <si>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</si>
  <si>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</si>
  <si>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</si>
  <si>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</si>
  <si>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</si>
  <si>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</si>
  <si>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</si>
  <si>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</si>
  <si>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</si>
  <si>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</si>
  <si>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</si>
  <si>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</si>
  <si>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</si>
  <si>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</si>
  <si>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</si>
  <si>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</si>
  <si>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</si>
  <si>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</si>
  <si>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</si>
  <si>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</si>
  <si>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</si>
  <si>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</si>
  <si>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</si>
  <si>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</si>
  <si>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</si>
  <si>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</si>
  <si>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</si>
  <si>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</si>
  <si>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</si>
  <si>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</si>
  <si>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</si>
  <si>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</si>
  <si>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</si>
  <si>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</si>
  <si>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</si>
  <si>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</si>
  <si>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</si>
  <si>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</si>
  <si>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</si>
  <si>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</si>
  <si>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</si>
  <si>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</si>
  <si>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</si>
  <si>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</si>
  <si>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</si>
  <si>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</si>
  <si>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</si>
  <si>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</si>
  <si>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</si>
  <si>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</si>
  <si>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</si>
  <si>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</si>
  <si>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</si>
  <si>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</si>
  <si>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</si>
  <si>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</si>
  <si>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</si>
  <si>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</si>
  <si>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</si>
  <si>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</si>
  <si>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</si>
  <si>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</si>
  <si>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</si>
  <si>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</si>
  <si>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</si>
  <si>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</si>
  <si>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</si>
  <si>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</si>
  <si>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</si>
  <si>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</si>
  <si>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</si>
  <si>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</si>
  <si>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</si>
  <si>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</si>
  <si>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</si>
  <si>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</si>
  <si>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</si>
  <si>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</si>
  <si>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</si>
  <si>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</si>
  <si>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</si>
  <si>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</si>
  <si>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</si>
  <si>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</si>
  <si>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</si>
  <si>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</si>
  <si>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</si>
  <si>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</si>
  <si>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</si>
  <si>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</si>
  <si>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</si>
  <si>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</si>
  <si>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</si>
  <si>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</si>
  <si>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</si>
  <si>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</si>
  <si>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</si>
  <si>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</si>
  <si>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</si>
  <si>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</si>
  <si>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</si>
  <si>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</si>
  <si>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</si>
  <si>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</si>
  <si>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</si>
  <si>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</si>
  <si>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</si>
  <si>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</si>
  <si>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</si>
  <si>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</si>
  <si>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</si>
  <si>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</si>
  <si>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</si>
  <si>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</si>
  <si>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</si>
  <si>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</si>
  <si>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</si>
  <si>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</si>
  <si>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</si>
  <si>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</si>
  <si>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</si>
  <si>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</si>
  <si>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</si>
  <si>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</si>
  <si>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</si>
  <si>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</si>
  <si>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</si>
  <si>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</si>
  <si>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</si>
  <si>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</si>
  <si>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</si>
  <si>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</si>
  <si>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</si>
  <si>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</si>
  <si>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</si>
  <si>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</si>
  <si>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</si>
  <si>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</si>
  <si>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</si>
  <si>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</si>
  <si>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</si>
  <si>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</si>
  <si>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</si>
  <si>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</si>
  <si>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</si>
  <si>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</si>
  <si>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</si>
  <si>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</si>
  <si>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</si>
  <si>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</si>
  <si>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</si>
  <si>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</si>
  <si>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</si>
  <si>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</si>
  <si>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</si>
  <si>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</si>
  <si>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</si>
  <si>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</si>
  <si>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</si>
  <si>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</si>
  <si>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</si>
  <si>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</si>
  <si>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</si>
  <si>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</si>
  <si>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</si>
  <si>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</si>
  <si>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</si>
  <si>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</si>
  <si>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</si>
  <si>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</si>
  <si>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</si>
  <si>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</si>
  <si>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</si>
  <si>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</si>
  <si>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</si>
  <si>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</si>
  <si>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</si>
  <si>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</si>
  <si>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</si>
  <si>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</si>
  <si>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</si>
  <si>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</si>
  <si>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</si>
  <si>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</si>
  <si>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</si>
  <si>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</si>
  <si>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</si>
  <si>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</si>
  <si>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</si>
  <si>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</si>
  <si>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</si>
  <si>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</si>
  <si>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</si>
  <si>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</si>
  <si>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</si>
  <si>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</si>
  <si>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</si>
  <si>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</si>
  <si>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</si>
  <si>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</si>
  <si>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</si>
  <si>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</si>
  <si>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</si>
  <si>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</si>
  <si>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</si>
  <si>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</si>
  <si>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</si>
  <si>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</si>
  <si>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</si>
  <si>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</si>
  <si>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</si>
  <si>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</si>
  <si>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</si>
  <si>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</si>
  <si>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</si>
  <si>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</si>
  <si>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</si>
  <si>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</si>
  <si>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</si>
  <si>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</si>
  <si>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</si>
  <si>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</si>
  <si>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</si>
  <si>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</si>
  <si>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</si>
  <si>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</si>
  <si>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</si>
  <si>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</si>
  <si>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</si>
  <si>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</si>
  <si>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</si>
  <si>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</si>
  <si>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</si>
  <si>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</si>
  <si>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</si>
  <si>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</si>
  <si>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</si>
  <si>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</si>
  <si>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</si>
  <si>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</si>
  <si>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</si>
  <si>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</si>
  <si>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</si>
  <si>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</si>
  <si>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</si>
  <si>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</si>
  <si>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</si>
  <si>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</si>
  <si>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</si>
  <si>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</si>
  <si>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</si>
  <si>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</si>
  <si>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</si>
  <si>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</si>
  <si>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</si>
  <si>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</si>
  <si>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</si>
  <si>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</si>
  <si>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</si>
  <si>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</si>
  <si>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</si>
  <si>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</si>
  <si>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</si>
  <si>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</si>
  <si>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</si>
  <si>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</si>
  <si>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</si>
  <si>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</si>
  <si>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</si>
  <si>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</si>
  <si>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</si>
  <si>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</si>
  <si>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</si>
  <si>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</si>
  <si>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</si>
  <si>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</si>
  <si>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</si>
  <si>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</si>
  <si>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</si>
  <si>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</si>
  <si>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</si>
  <si>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</si>
  <si>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</si>
  <si>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</si>
  <si>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</si>
  <si>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</si>
  <si>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</si>
  <si>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</si>
  <si>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</si>
  <si>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</si>
  <si>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</si>
  <si>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</si>
  <si>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</si>
  <si>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</si>
  <si>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</si>
  <si>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</si>
  <si>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</si>
  <si>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</si>
  <si>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</si>
  <si>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</si>
  <si>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</si>
  <si>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</si>
  <si>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</si>
  <si>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</si>
  <si>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</si>
  <si>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</si>
  <si>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</si>
  <si>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</si>
  <si>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</si>
  <si>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</si>
  <si>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</si>
  <si>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</si>
  <si>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</si>
  <si>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</si>
  <si>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</si>
  <si>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</si>
  <si>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</si>
  <si>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</si>
  <si>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</si>
  <si>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</si>
  <si>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</si>
  <si>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</si>
  <si>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</si>
  <si>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</si>
  <si>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</si>
  <si>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</si>
  <si>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</si>
  <si>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</si>
  <si>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</si>
  <si>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</si>
  <si>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</si>
  <si>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</si>
  <si>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</si>
  <si>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</si>
  <si>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</si>
  <si>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</si>
  <si>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</si>
  <si>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</si>
  <si>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</si>
  <si>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</si>
  <si>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</si>
  <si>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</si>
  <si>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</si>
  <si>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</si>
  <si>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</si>
  <si>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</si>
  <si>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</si>
  <si>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</si>
  <si>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</si>
  <si>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</si>
  <si>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</si>
  <si>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</si>
  <si>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</si>
  <si>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</si>
  <si>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</si>
  <si>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</si>
  <si>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</si>
  <si>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</si>
  <si>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</si>
  <si>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</si>
  <si>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</si>
  <si>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</si>
  <si>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</si>
  <si>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</si>
  <si>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</si>
  <si>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</si>
  <si>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</si>
  <si>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</si>
  <si>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</si>
  <si>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</si>
  <si>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</si>
  <si>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</si>
  <si>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</si>
  <si>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</si>
  <si>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</si>
  <si>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</si>
  <si>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</si>
  <si>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</si>
  <si>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</si>
  <si>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</si>
  <si>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</si>
  <si>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</si>
  <si>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</si>
  <si>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</si>
  <si>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</si>
  <si>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</si>
  <si>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</si>
  <si>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</si>
  <si>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</si>
  <si>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</si>
  <si>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</si>
  <si>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</si>
  <si>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</si>
  <si>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</si>
  <si>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</si>
  <si>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</si>
  <si>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</si>
  <si>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</si>
  <si>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</si>
  <si>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</si>
  <si>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</si>
  <si>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</si>
  <si>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</si>
  <si>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</si>
  <si>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</si>
  <si>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</si>
  <si>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</si>
  <si>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</si>
  <si>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</si>
  <si>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</si>
  <si>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</si>
  <si>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</si>
  <si>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</si>
  <si>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</si>
  <si>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</si>
  <si>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</si>
  <si>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</si>
  <si>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</si>
  <si>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</si>
  <si>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</si>
  <si>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</si>
  <si>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</si>
  <si>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</si>
  <si>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</si>
  <si>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</si>
  <si>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</si>
  <si>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</si>
  <si>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</si>
  <si>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</si>
  <si>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</si>
  <si>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</si>
  <si>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</si>
  <si>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</si>
  <si>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</si>
  <si>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</si>
  <si>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</si>
  <si>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</si>
  <si>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</si>
  <si>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</si>
  <si>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</si>
  <si>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</si>
  <si>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</si>
  <si>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</si>
  <si>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</si>
  <si>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</si>
  <si>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</si>
  <si>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</si>
  <si>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</si>
  <si>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</si>
  <si>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</si>
  <si>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</si>
  <si>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</si>
  <si>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</si>
  <si>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</si>
  <si>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</si>
  <si>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</si>
  <si>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</si>
  <si>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</si>
  <si>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</si>
  <si>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</si>
  <si>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</si>
  <si>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</si>
  <si>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</si>
  <si>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</si>
  <si>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</si>
  <si>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</si>
  <si>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</si>
  <si>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</si>
  <si>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</si>
  <si>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</si>
  <si>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</si>
  <si>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</si>
  <si>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</si>
  <si>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</si>
  <si>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</si>
  <si>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</si>
  <si>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</si>
  <si>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</si>
  <si>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</si>
  <si>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</si>
  <si>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</si>
  <si>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</si>
  <si>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</si>
  <si>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</si>
  <si>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</si>
  <si>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</si>
  <si>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</si>
  <si>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</si>
  <si>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</si>
  <si>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</si>
  <si>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</si>
  <si>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</si>
  <si>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</si>
  <si>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</si>
  <si>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</si>
  <si>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</si>
  <si>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</si>
  <si>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</si>
  <si>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</si>
  <si>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</si>
  <si>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</si>
  <si>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</si>
  <si>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</si>
  <si>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</si>
  <si>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</si>
  <si>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</si>
  <si>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</si>
  <si>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</si>
  <si>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</si>
  <si>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</si>
  <si>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</si>
  <si>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</si>
  <si>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</si>
  <si>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</si>
  <si>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</si>
  <si>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</si>
  <si>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</si>
  <si>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</si>
  <si>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</si>
  <si>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</si>
  <si>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</si>
  <si>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</si>
  <si>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</si>
  <si>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</si>
  <si>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</si>
  <si>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</si>
  <si>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</si>
  <si>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</si>
  <si>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</si>
  <si>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</si>
  <si>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</si>
  <si>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</si>
  <si>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</si>
  <si>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</si>
  <si>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</si>
  <si>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</si>
  <si>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</si>
  <si>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</si>
  <si>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</si>
  <si>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</si>
  <si>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</si>
  <si>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</si>
  <si>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</si>
  <si>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</si>
  <si>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</si>
  <si>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</si>
  <si>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</si>
  <si>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</si>
  <si>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</si>
  <si>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</si>
  <si>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</si>
  <si>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</si>
  <si>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</si>
  <si>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</si>
  <si>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</si>
  <si>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</si>
  <si>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</si>
  <si>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</si>
  <si>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</si>
  <si>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</si>
  <si>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</si>
  <si>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</si>
  <si>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</si>
  <si>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</si>
  <si>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</si>
  <si>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</si>
  <si>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</si>
  <si>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</si>
  <si>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</si>
  <si>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</si>
  <si>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</si>
  <si>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</si>
  <si>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</si>
  <si>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</si>
  <si>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</si>
  <si>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</si>
  <si>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</si>
  <si>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</si>
  <si>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</si>
  <si>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</si>
  <si>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</si>
  <si>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</si>
  <si>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</si>
  <si>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</si>
  <si>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</si>
  <si>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</si>
  <si>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</si>
  <si>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</si>
  <si>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</si>
  <si>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</si>
  <si>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</si>
  <si>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</si>
  <si>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</si>
  <si>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</si>
  <si>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</si>
  <si>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</si>
  <si>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</si>
  <si>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</si>
  <si>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</si>
  <si>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</si>
  <si>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</si>
  <si>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</si>
  <si>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</si>
  <si>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</si>
  <si>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</si>
  <si>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</si>
  <si>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</si>
  <si>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</si>
  <si>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</si>
  <si>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</si>
  <si>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</si>
  <si>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</si>
  <si>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</si>
  <si>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</si>
  <si>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</si>
  <si>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</si>
  <si>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</si>
  <si>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</si>
  <si>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</si>
  <si>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</si>
  <si>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</si>
  <si>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</si>
  <si>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</si>
  <si>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</si>
  <si>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</si>
  <si>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</si>
  <si>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</si>
  <si>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</si>
  <si>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</si>
  <si>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</si>
  <si>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</si>
  <si>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</si>
  <si>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</si>
  <si>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</si>
  <si>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</si>
  <si>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</si>
  <si>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</si>
  <si>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</si>
  <si>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</si>
  <si>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</si>
  <si>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</si>
  <si>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</si>
  <si>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</si>
  <si>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</si>
  <si>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</si>
  <si>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</si>
  <si>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</si>
  <si>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</si>
  <si>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</si>
  <si>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</si>
  <si>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</si>
  <si>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</si>
  <si>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</si>
  <si>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</si>
  <si>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</si>
  <si>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</si>
  <si>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</si>
  <si>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</si>
  <si>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</si>
  <si>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</si>
  <si>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</si>
  <si>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</si>
  <si>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</si>
  <si>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</si>
  <si>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</si>
  <si>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</si>
  <si>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</si>
  <si>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</si>
  <si>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</si>
  <si>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</si>
  <si>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</si>
  <si>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</si>
  <si>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</si>
  <si>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</si>
  <si>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</si>
  <si>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</si>
  <si>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</si>
  <si>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</si>
  <si>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</si>
  <si>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</si>
  <si>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</si>
  <si>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</si>
  <si>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</si>
  <si>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</si>
  <si>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</si>
  <si>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</si>
  <si>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</si>
  <si>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</si>
  <si>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</si>
  <si>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</si>
  <si>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</si>
  <si>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</si>
  <si>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</si>
  <si>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</si>
  <si>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</si>
  <si>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</si>
  <si>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</si>
  <si>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</si>
  <si>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</si>
  <si>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</si>
  <si>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</si>
  <si>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</si>
  <si>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</si>
  <si>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</si>
  <si>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</si>
  <si>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</si>
  <si>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</si>
  <si>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</si>
  <si>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</si>
  <si>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</si>
  <si>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</si>
  <si>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</si>
  <si>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</si>
  <si>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</si>
  <si>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</si>
  <si>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</si>
  <si>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</si>
  <si>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</si>
  <si>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</si>
  <si>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</si>
  <si>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</si>
  <si>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</si>
  <si>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</si>
  <si>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</si>
  <si>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</si>
  <si>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</si>
  <si>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</si>
  <si>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</si>
  <si>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</si>
  <si>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</si>
  <si>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</si>
  <si>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</si>
  <si>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</si>
  <si>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</si>
  <si>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</si>
  <si>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</si>
  <si>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</si>
  <si>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</si>
  <si>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</si>
  <si>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</si>
  <si>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</si>
  <si>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</si>
  <si>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</si>
  <si>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</si>
  <si>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</si>
  <si>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</si>
  <si>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</si>
  <si>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</si>
  <si>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</si>
  <si>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</si>
  <si>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</si>
  <si>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</si>
  <si>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</si>
  <si>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</si>
  <si>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</si>
  <si>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</si>
  <si>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</si>
  <si>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</si>
  <si>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</si>
  <si>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</si>
  <si>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</si>
  <si>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</si>
  <si>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</si>
  <si>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</si>
  <si>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</si>
  <si>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</si>
  <si>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</si>
  <si>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</si>
  <si>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</si>
  <si>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</si>
  <si>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</si>
  <si>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</si>
  <si>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</si>
  <si>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</si>
  <si>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</si>
  <si>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</si>
  <si>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</si>
  <si>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</si>
  <si>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</si>
  <si>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</si>
  <si>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</si>
  <si>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</si>
  <si>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</si>
  <si>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</si>
  <si>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</si>
  <si>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</si>
  <si>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</si>
  <si>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</si>
  <si>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</si>
  <si>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</si>
  <si>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</si>
  <si>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</si>
  <si>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</si>
  <si>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</si>
  <si>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</si>
  <si>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</si>
  <si>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</si>
  <si>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</si>
  <si>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</si>
  <si>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</si>
  <si>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</si>
  <si>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</si>
  <si>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</si>
  <si>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</si>
  <si>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</si>
  <si>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</si>
  <si>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</si>
  <si>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</si>
  <si>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</si>
  <si>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</si>
  <si>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</si>
  <si>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</si>
  <si>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</si>
  <si>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</si>
  <si>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</si>
  <si>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</si>
  <si>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</si>
  <si>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</si>
  <si>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</si>
  <si>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</si>
  <si>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</si>
  <si>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</si>
  <si>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</si>
  <si>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</si>
  <si>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</si>
  <si>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</si>
  <si>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</si>
  <si>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</si>
  <si>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</si>
  <si>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</si>
  <si>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</si>
  <si>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</si>
  <si>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</si>
  <si>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</si>
  <si>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</si>
  <si>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</si>
  <si>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</si>
  <si>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</si>
  <si>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</si>
  <si>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</si>
  <si>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</si>
  <si>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</si>
  <si>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</si>
  <si>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</si>
  <si>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</si>
  <si>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</si>
  <si>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</si>
  <si>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</si>
  <si>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</si>
  <si>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</si>
  <si>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</si>
  <si>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</si>
  <si>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</si>
  <si>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</si>
  <si>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</si>
  <si>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</si>
  <si>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</si>
  <si>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</si>
  <si>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</si>
  <si>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</si>
  <si>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</si>
  <si>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</si>
  <si>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</si>
  <si>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</si>
  <si>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</si>
  <si>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</si>
  <si>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</si>
  <si>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</si>
  <si>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</si>
  <si>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</si>
  <si>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</si>
  <si>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</si>
  <si>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</si>
  <si>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</si>
  <si>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</si>
  <si>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</si>
  <si>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</si>
  <si>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</si>
  <si>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</si>
  <si>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</si>
  <si>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</si>
  <si>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</si>
  <si>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</si>
  <si>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</si>
  <si>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</si>
  <si>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</si>
  <si>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</si>
  <si>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</si>
  <si>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</si>
  <si>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</si>
  <si>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</si>
  <si>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</si>
  <si>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</si>
  <si>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</si>
  <si>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</si>
  <si>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</si>
  <si>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</si>
  <si>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</si>
  <si>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</si>
  <si>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</si>
  <si>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</si>
  <si>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</si>
  <si>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</si>
  <si>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</si>
  <si>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</si>
  <si>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</si>
  <si>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</si>
  <si>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</si>
  <si>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</si>
  <si>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</si>
  <si>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</si>
  <si>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</si>
  <si>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</si>
  <si>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</si>
  <si>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</si>
  <si>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</si>
  <si>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</si>
  <si>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</si>
  <si>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</si>
  <si>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</si>
  <si>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</si>
  <si>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</si>
  <si>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</si>
  <si>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</si>
  <si>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</si>
  <si>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</si>
  <si>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</si>
  <si>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</si>
  <si>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</si>
  <si>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</si>
  <si>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</si>
  <si>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</si>
  <si>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</si>
  <si>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</si>
  <si>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</si>
  <si>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</si>
  <si>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</si>
  <si>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</si>
  <si>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</si>
  <si>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</si>
  <si>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</si>
  <si>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</si>
  <si>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</si>
  <si>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</si>
  <si>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</si>
  <si>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</si>
  <si>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</si>
  <si>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</si>
  <si>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</si>
  <si>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</si>
  <si>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</si>
  <si>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</si>
  <si>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</si>
  <si>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</si>
  <si>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</si>
  <si>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</si>
  <si>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</si>
  <si>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</si>
  <si>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</si>
  <si>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</si>
  <si>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</si>
  <si>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</si>
  <si>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</si>
  <si>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</si>
  <si>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</si>
  <si>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</si>
  <si>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</si>
  <si>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</si>
  <si>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</si>
  <si>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</si>
  <si>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</si>
  <si>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</si>
  <si>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</si>
  <si>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</si>
  <si>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</si>
  <si>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</si>
  <si>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</si>
  <si>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</si>
  <si>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</si>
  <si>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</si>
  <si>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</si>
  <si>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</si>
  <si>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</si>
  <si>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</si>
  <si>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</si>
  <si>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</si>
  <si>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</si>
  <si>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</si>
  <si>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</si>
  <si>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</si>
  <si>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</si>
  <si>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</si>
  <si>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</si>
  <si>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</si>
  <si>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</si>
  <si>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</si>
  <si>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</si>
  <si>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</si>
  <si>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</si>
  <si>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</si>
  <si>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</si>
  <si>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</si>
  <si>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</si>
  <si>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</si>
  <si>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</si>
  <si>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</si>
  <si>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</si>
  <si>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</si>
  <si>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</si>
  <si>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</si>
  <si>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</si>
  <si>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</si>
  <si>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</si>
  <si>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</si>
  <si>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</si>
  <si>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</si>
  <si>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</si>
  <si>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</si>
  <si>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</si>
  <si>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</si>
  <si>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</si>
  <si>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</si>
  <si>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</si>
  <si>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</si>
  <si>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</si>
  <si>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</si>
  <si>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</si>
  <si>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</si>
  <si>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</si>
  <si>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</si>
  <si>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</si>
  <si>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</si>
  <si>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</si>
  <si>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</si>
  <si>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</si>
  <si>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</si>
  <si>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</si>
  <si>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</si>
  <si>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</si>
  <si>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</si>
  <si>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</si>
  <si>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</si>
  <si>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</si>
  <si>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</si>
  <si>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</si>
  <si>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</si>
  <si>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</si>
  <si>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</si>
  <si>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</si>
  <si>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</si>
  <si>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</si>
  <si>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</si>
  <si>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</si>
  <si>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</si>
  <si>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</si>
  <si>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</si>
  <si>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</si>
  <si>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</si>
  <si>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</si>
  <si>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</si>
  <si>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</si>
  <si>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</si>
  <si>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</si>
  <si>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</si>
  <si>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</si>
  <si>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</si>
  <si>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</si>
  <si>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</si>
  <si>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</si>
  <si>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</si>
  <si>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</si>
  <si>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</si>
  <si>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</si>
  <si>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</si>
  <si>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</si>
  <si>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</si>
  <si>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</si>
  <si>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</si>
  <si>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</si>
  <si>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</si>
  <si>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</si>
  <si>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</si>
  <si>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</si>
  <si>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</si>
  <si>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</si>
  <si>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</si>
  <si>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</si>
  <si>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</si>
  <si>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</si>
  <si>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</si>
  <si>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</si>
  <si>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</si>
  <si>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</si>
  <si>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</si>
  <si>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</si>
  <si>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</si>
  <si>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</si>
  <si>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</si>
  <si>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</si>
  <si>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</si>
  <si>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</si>
  <si>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</si>
  <si>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</si>
  <si>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</si>
  <si>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</si>
  <si>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</si>
  <si>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</si>
  <si>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</si>
  <si>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</si>
  <si>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</si>
  <si>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</si>
  <si>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</si>
  <si>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</si>
  <si>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</si>
  <si>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</si>
  <si>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</si>
  <si>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</si>
  <si>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</si>
  <si>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</si>
  <si>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</si>
  <si>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</si>
  <si>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</si>
  <si>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</si>
  <si>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</si>
  <si>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</si>
  <si>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</si>
  <si>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</si>
  <si>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</si>
  <si>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</si>
  <si>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</si>
  <si>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</si>
  <si>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</si>
  <si>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</si>
  <si>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</si>
  <si>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</si>
  <si>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</si>
  <si>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</si>
  <si>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</si>
  <si>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</si>
  <si>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</si>
  <si>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</si>
  <si>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</si>
  <si>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</si>
  <si>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</si>
  <si>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</si>
  <si>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</si>
  <si>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</si>
  <si>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</si>
  <si>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</si>
  <si>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</si>
  <si>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</si>
  <si>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</si>
  <si>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</si>
  <si>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</si>
  <si>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</si>
  <si>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</si>
  <si>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</si>
  <si>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</si>
  <si>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</si>
  <si>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</si>
  <si>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</si>
  <si>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</si>
  <si>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</si>
  <si>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</si>
  <si>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</si>
  <si>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</si>
  <si>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</si>
  <si>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</si>
  <si>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</si>
  <si>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</si>
  <si>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</si>
  <si>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</si>
  <si>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</si>
  <si>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</si>
  <si>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</si>
  <si>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</si>
  <si>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</si>
  <si>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</si>
  <si>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</si>
  <si>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</si>
  <si>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</si>
  <si>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</si>
  <si>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</si>
  <si>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</si>
  <si>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</si>
  <si>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</si>
  <si>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</si>
  <si>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</si>
  <si>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</si>
  <si>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</si>
  <si>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</si>
  <si>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</si>
  <si>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</si>
  <si>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</si>
  <si>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</si>
  <si>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</si>
  <si>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</si>
  <si>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</si>
  <si>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</si>
  <si>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</si>
  <si>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</si>
  <si>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</si>
  <si>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</si>
  <si>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</si>
  <si>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</si>
  <si>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</si>
  <si>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</si>
  <si>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</si>
  <si>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</si>
  <si>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</si>
  <si>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</si>
  <si>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</si>
  <si>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</si>
  <si>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</si>
  <si>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</si>
  <si>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</si>
  <si>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</si>
  <si>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</si>
  <si>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</si>
  <si>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</si>
  <si>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</si>
  <si>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</si>
  <si>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</si>
  <si>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</si>
  <si>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</si>
  <si>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</si>
  <si>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</si>
  <si>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</si>
  <si>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</si>
  <si>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</si>
  <si>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</si>
  <si>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</si>
  <si>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</si>
  <si>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</si>
  <si>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</si>
  <si>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</si>
  <si>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</si>
  <si>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</si>
  <si>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</si>
  <si>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</si>
  <si>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</si>
  <si>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</si>
  <si>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</si>
  <si>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</si>
  <si>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</si>
  <si>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</si>
  <si>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</si>
  <si>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</si>
  <si>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</si>
  <si>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</si>
  <si>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</si>
  <si>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</si>
  <si>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</si>
  <si>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</si>
  <si>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</si>
  <si>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</si>
  <si>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</si>
  <si>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</si>
  <si>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</si>
  <si>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</si>
  <si>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</si>
  <si>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</si>
  <si>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</si>
  <si>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</si>
  <si>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</si>
  <si>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</si>
  <si>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</si>
  <si>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</si>
  <si>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</si>
  <si>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</si>
  <si>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</si>
  <si>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</si>
  <si>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</si>
  <si>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</si>
  <si>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</si>
  <si>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</si>
  <si>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</si>
  <si>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</si>
  <si>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</si>
  <si>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</si>
  <si>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</si>
  <si>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</si>
  <si>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</si>
  <si>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</si>
  <si>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</si>
  <si>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</si>
  <si>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</si>
  <si>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</si>
  <si>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</si>
  <si>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</si>
  <si>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</si>
  <si>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</si>
  <si>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</si>
  <si>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</si>
  <si>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</si>
  <si>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</si>
  <si>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</si>
  <si>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</si>
  <si>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</si>
  <si>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</si>
  <si>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</si>
  <si>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</si>
  <si>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</si>
  <si>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</si>
  <si>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</si>
  <si>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</si>
  <si>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</si>
  <si>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</si>
  <si>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</si>
  <si>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</si>
  <si>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</si>
  <si>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</si>
  <si>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</si>
  <si>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</si>
  <si>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</si>
  <si>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</si>
  <si>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</si>
  <si>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</si>
  <si>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</si>
  <si>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</si>
  <si>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</si>
  <si>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</si>
  <si>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</si>
  <si>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</si>
  <si>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</si>
  <si>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</si>
  <si>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</si>
  <si>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</si>
  <si>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</si>
  <si>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</si>
  <si>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</si>
  <si>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</si>
  <si>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</si>
  <si>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</si>
  <si>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</si>
  <si>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</si>
  <si>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</si>
  <si>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</si>
  <si>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</si>
  <si>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</si>
  <si>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</si>
  <si>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</si>
  <si>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</si>
  <si>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</si>
  <si>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</si>
  <si>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</si>
  <si>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</si>
  <si>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</si>
  <si>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</si>
  <si>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</si>
  <si>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</si>
  <si>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</si>
  <si>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</si>
  <si>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</si>
  <si>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</si>
  <si>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</si>
  <si>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</si>
  <si>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</si>
  <si>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</si>
  <si>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</si>
  <si>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</si>
  <si>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</si>
  <si>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</si>
  <si>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</si>
  <si>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</si>
  <si>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</si>
  <si>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</si>
  <si>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</si>
  <si>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</si>
  <si>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</si>
  <si>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</si>
  <si>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</si>
  <si>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</si>
  <si>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</si>
  <si>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</si>
  <si>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</si>
  <si>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</si>
  <si>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</si>
  <si>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</si>
  <si>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</si>
  <si>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</si>
  <si>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</si>
  <si>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</si>
  <si>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</si>
  <si>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</si>
  <si>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</si>
  <si>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</si>
  <si>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</si>
  <si>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</si>
  <si>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</si>
  <si>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</si>
  <si>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</si>
  <si>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</si>
  <si>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</si>
  <si>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</si>
  <si>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</si>
  <si>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</si>
  <si>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</si>
  <si>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</si>
  <si>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</si>
  <si>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</si>
  <si>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</si>
  <si>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</si>
  <si>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</si>
  <si>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</si>
  <si>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</si>
  <si>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</si>
  <si>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</si>
  <si>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</si>
  <si>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</si>
  <si>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</si>
  <si>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</si>
  <si>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</si>
  <si>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</si>
  <si>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</si>
  <si>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</si>
  <si>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</si>
  <si>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</si>
  <si>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</si>
  <si>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</si>
  <si>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</si>
  <si>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</si>
  <si>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</si>
  <si>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</si>
  <si>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</si>
  <si>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</si>
  <si>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</si>
  <si>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</si>
  <si>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</si>
  <si>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</si>
  <si>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</si>
  <si>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</si>
  <si>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</si>
  <si>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</si>
  <si>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</si>
  <si>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</si>
  <si>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</si>
  <si>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</si>
  <si>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</si>
  <si>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</si>
  <si>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</si>
  <si>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</si>
  <si>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</si>
  <si>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</si>
  <si>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</si>
  <si>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</si>
  <si>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</si>
  <si>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</si>
  <si>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</si>
  <si>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</si>
  <si>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</si>
  <si>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</si>
  <si>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</si>
  <si>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</si>
  <si>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</si>
  <si>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</si>
  <si>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</si>
  <si>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</si>
  <si>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</si>
  <si>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</si>
  <si>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</si>
  <si>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</si>
  <si>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</si>
  <si>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</si>
  <si>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</si>
  <si>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</si>
  <si>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</si>
  <si>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</si>
  <si>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</si>
  <si>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</si>
  <si>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</si>
  <si>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</si>
  <si>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</si>
  <si>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</si>
  <si>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</si>
  <si>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</si>
  <si>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</si>
  <si>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</si>
  <si>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</si>
  <si>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</si>
  <si>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</si>
  <si>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</si>
  <si>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</si>
  <si>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</si>
  <si>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</si>
  <si>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</si>
  <si>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</si>
  <si>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</si>
  <si>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</si>
  <si>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</si>
  <si>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</si>
  <si>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</si>
  <si>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</si>
  <si>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</si>
  <si>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</si>
  <si>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</si>
  <si>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</si>
  <si>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</si>
  <si>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</si>
  <si>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</si>
  <si>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</si>
  <si>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</si>
  <si>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</si>
  <si>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</si>
  <si>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</si>
  <si>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</si>
  <si>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</si>
  <si>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</si>
  <si>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</si>
  <si>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</si>
  <si>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</si>
  <si>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</si>
  <si>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</si>
  <si>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</si>
  <si>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</si>
  <si>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</si>
  <si>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</si>
  <si>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</si>
  <si>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</si>
  <si>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</si>
  <si>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</si>
  <si>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</si>
  <si>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</si>
  <si>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</si>
  <si>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</si>
  <si>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</si>
  <si>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</si>
  <si>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</si>
  <si>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</si>
  <si>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</si>
  <si>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</si>
  <si>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</si>
  <si>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</si>
  <si>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</si>
  <si>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</si>
  <si>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</si>
  <si>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</si>
  <si>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</si>
  <si>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</si>
  <si>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</si>
  <si>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</si>
  <si>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</si>
  <si>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</si>
  <si>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</si>
  <si>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</si>
  <si>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</si>
  <si>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</si>
  <si>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</si>
  <si>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</si>
  <si>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</si>
  <si>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</si>
  <si>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</si>
  <si>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</si>
  <si>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</si>
  <si>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</si>
  <si>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</si>
  <si>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</si>
  <si>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</si>
  <si>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</si>
  <si>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</si>
  <si>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</si>
  <si>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</si>
  <si>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</si>
  <si>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</si>
  <si>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</si>
  <si>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</si>
  <si>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</si>
  <si>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</si>
  <si>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</si>
  <si>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</si>
  <si>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</si>
  <si>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</si>
  <si>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</si>
  <si>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</si>
  <si>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</si>
  <si>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</si>
  <si>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</si>
  <si>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</si>
  <si>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</si>
  <si>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</si>
  <si>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</si>
  <si>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</si>
  <si>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</si>
  <si>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</si>
  <si>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</si>
  <si>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</si>
  <si>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</si>
  <si>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</si>
  <si>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</si>
  <si>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</si>
  <si>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</si>
  <si>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</si>
  <si>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</si>
  <si>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</si>
  <si>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</si>
  <si>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</si>
  <si>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</si>
  <si>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</si>
  <si>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</si>
  <si>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</si>
  <si>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</si>
  <si>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</si>
  <si>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</si>
  <si>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</si>
  <si>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</si>
  <si>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</si>
  <si>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</si>
  <si>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</si>
  <si>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</si>
  <si>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</si>
  <si>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</si>
  <si>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</si>
  <si>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</si>
  <si>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</si>
  <si>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</si>
  <si>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</si>
  <si>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</si>
  <si>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</si>
  <si>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</si>
  <si>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</si>
  <si>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</si>
  <si>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</si>
  <si>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</si>
  <si>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</si>
  <si>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</si>
  <si>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</si>
  <si>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</si>
  <si>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</si>
  <si>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</si>
  <si>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</si>
  <si>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</si>
  <si>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</si>
  <si>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</si>
  <si>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</si>
  <si>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</si>
  <si>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</si>
  <si>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</si>
  <si>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</si>
  <si>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</si>
  <si>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</si>
  <si>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</si>
  <si>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</si>
  <si>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</si>
  <si>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</si>
  <si>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</si>
  <si>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</si>
  <si>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</si>
  <si>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</si>
  <si>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</si>
  <si>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</si>
  <si>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</si>
  <si>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</si>
  <si>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</si>
  <si>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</si>
  <si>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</si>
  <si>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</si>
  <si>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</si>
  <si>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</si>
  <si>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</si>
  <si>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</si>
  <si>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</si>
  <si>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</si>
  <si>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</si>
  <si>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</si>
  <si>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</si>
  <si>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</si>
  <si>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</si>
  <si>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</si>
  <si>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</si>
  <si>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</si>
  <si>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</si>
  <si>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</si>
  <si>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</si>
  <si>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</si>
  <si>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</si>
  <si>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</si>
  <si>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</si>
  <si>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</si>
  <si>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</si>
  <si>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</si>
  <si>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</si>
  <si>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</si>
  <si>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</si>
  <si>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</si>
  <si>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</si>
  <si>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</si>
  <si>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</si>
  <si>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</si>
  <si>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</si>
  <si>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</si>
  <si>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</si>
  <si>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</si>
  <si>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</si>
  <si>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</si>
  <si>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</si>
  <si>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</si>
  <si>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</si>
  <si>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</si>
  <si>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</si>
  <si>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</si>
  <si>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</si>
  <si>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</si>
  <si>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</si>
  <si>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</si>
  <si>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</si>
  <si>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</si>
  <si>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</si>
  <si>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</si>
  <si>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</si>
  <si>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</si>
  <si>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</si>
  <si>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</si>
  <si>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</si>
  <si>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</si>
  <si>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</si>
  <si>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</si>
  <si>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</si>
  <si>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</si>
  <si>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</si>
  <si>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</si>
  <si>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</si>
  <si>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</si>
  <si>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</si>
  <si>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</si>
  <si>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</si>
  <si>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</si>
  <si>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</si>
  <si>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</si>
  <si>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</si>
  <si>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</si>
  <si>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</si>
  <si>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</si>
  <si>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</si>
  <si>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</si>
  <si>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</si>
  <si>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</si>
  <si>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</si>
  <si>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</si>
  <si>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</si>
  <si>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</si>
  <si>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</si>
  <si>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</si>
  <si>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</si>
  <si>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</si>
  <si>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</si>
  <si>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</si>
  <si>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</si>
  <si>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</si>
  <si>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</si>
  <si>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</si>
  <si>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</si>
  <si>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</si>
  <si>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</si>
  <si>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</si>
  <si>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</si>
  <si>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</si>
  <si>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</si>
  <si>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</si>
  <si>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</si>
  <si>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</si>
  <si>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</si>
  <si>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</si>
  <si>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</si>
  <si>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</si>
  <si>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</si>
  <si>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</si>
  <si>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</si>
  <si>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</si>
  <si>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</si>
  <si>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</si>
  <si>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</si>
  <si>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</si>
  <si>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</si>
  <si>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</si>
  <si>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</si>
  <si>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</si>
  <si>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</si>
  <si>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</si>
  <si>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</si>
  <si>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</si>
  <si>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</si>
  <si>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</si>
  <si>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</si>
  <si>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</si>
  <si>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</si>
  <si>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</si>
  <si>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</si>
  <si>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</si>
  <si>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</si>
  <si>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</si>
  <si>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</si>
  <si>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</si>
  <si>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</si>
  <si>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</si>
  <si>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</si>
  <si>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</si>
  <si>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</si>
  <si>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</si>
  <si>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</si>
  <si>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</si>
  <si>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</si>
  <si>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</si>
  <si>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</si>
  <si>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</si>
  <si>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</si>
  <si>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</si>
  <si>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</si>
  <si>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</si>
  <si>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</si>
  <si>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</si>
  <si>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</si>
  <si>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</si>
  <si>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</si>
  <si>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</si>
  <si>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</si>
  <si>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</si>
  <si>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</si>
  <si>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</si>
  <si>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</si>
  <si>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</si>
  <si>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</si>
  <si>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</si>
  <si>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</si>
  <si>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</si>
  <si>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</si>
  <si>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</si>
  <si>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</si>
  <si>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</si>
  <si>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</si>
  <si>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</si>
  <si>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</si>
  <si>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</si>
  <si>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</si>
  <si>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</si>
  <si>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</si>
  <si>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</si>
  <si>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</si>
  <si>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</si>
  <si>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</si>
  <si>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</si>
  <si>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</si>
  <si>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</si>
  <si>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</si>
  <si>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</si>
  <si>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</si>
  <si>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</si>
  <si>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</si>
  <si>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</si>
  <si>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</si>
  <si>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</si>
  <si>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</si>
  <si>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</si>
  <si>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</si>
  <si>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</si>
  <si>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</si>
  <si>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</si>
  <si>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</si>
  <si>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</si>
  <si>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</si>
  <si>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</si>
  <si>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</si>
  <si>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</si>
  <si>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</si>
  <si>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</si>
  <si>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</si>
  <si>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</si>
  <si>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</si>
  <si>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</si>
  <si>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</si>
  <si>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</si>
  <si>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</si>
  <si>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</si>
  <si>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</si>
  <si>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</si>
  <si>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</si>
  <si>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</si>
  <si>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</si>
  <si>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</si>
  <si>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</si>
  <si>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</si>
  <si>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</si>
  <si>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</si>
  <si>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</si>
  <si>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</si>
  <si>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</si>
  <si>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</si>
  <si>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</si>
  <si>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</si>
  <si>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</si>
  <si>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</si>
  <si>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</si>
  <si>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</si>
  <si>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</si>
  <si>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</si>
  <si>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</si>
  <si>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</si>
  <si>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</si>
  <si>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</si>
  <si>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</si>
  <si>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</si>
  <si>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</si>
  <si>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</si>
  <si>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</si>
  <si>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</si>
  <si>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</si>
  <si>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</si>
  <si>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</si>
  <si>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</si>
  <si>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</si>
  <si>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</si>
  <si>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</si>
  <si>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</si>
  <si>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</si>
  <si>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</si>
  <si>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</si>
  <si>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</si>
  <si>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</si>
  <si>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</si>
  <si>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</si>
  <si>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</si>
  <si>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</si>
  <si>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</si>
  <si>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</si>
  <si>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</si>
  <si>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</si>
  <si>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</si>
  <si>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</si>
  <si>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</si>
  <si>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</si>
  <si>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</si>
  <si>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</si>
  <si>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</si>
  <si>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</si>
  <si>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</si>
  <si>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</si>
  <si>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</si>
  <si>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</si>
  <si>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</si>
  <si>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</si>
  <si>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</si>
  <si>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</si>
  <si>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</si>
  <si>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</si>
  <si>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</si>
  <si>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</si>
  <si>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</si>
  <si>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</si>
  <si>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</si>
  <si>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</si>
  <si>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</si>
  <si>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</si>
  <si>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</si>
  <si>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</si>
  <si>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</si>
  <si>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</si>
  <si>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</si>
  <si>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</si>
  <si>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</si>
  <si>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</si>
  <si>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</si>
  <si>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</si>
  <si>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</si>
  <si>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</si>
  <si>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</si>
  <si>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</si>
  <si>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</si>
  <si>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</si>
  <si>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</si>
  <si>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</si>
  <si>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</si>
  <si>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</si>
  <si>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</si>
  <si>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</si>
  <si>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</si>
  <si>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</si>
  <si>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</si>
  <si>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</si>
  <si>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</si>
  <si>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</si>
  <si>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</si>
  <si>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</si>
  <si>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</si>
  <si>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</si>
  <si>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</si>
  <si>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</si>
  <si>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</si>
  <si>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</si>
  <si>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</si>
  <si>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</si>
  <si>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</si>
  <si>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</si>
  <si>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</si>
  <si>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</si>
  <si>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</si>
  <si>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</si>
  <si>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</si>
  <si>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</si>
  <si>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</si>
  <si>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</si>
  <si>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</si>
  <si>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</si>
  <si>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</si>
  <si>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</si>
  <si>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</si>
  <si>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</si>
  <si>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</si>
  <si>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</si>
  <si>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</si>
  <si>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</si>
  <si>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</si>
  <si>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</si>
  <si>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</si>
  <si>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</si>
  <si>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</si>
  <si>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</si>
  <si>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</si>
  <si>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</si>
  <si>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</si>
  <si>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</si>
  <si>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</si>
  <si>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</si>
  <si>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</si>
  <si>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</si>
  <si>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</si>
  <si>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</si>
  <si>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</si>
  <si>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</si>
  <si>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</si>
  <si>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</si>
  <si>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</si>
  <si>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</si>
  <si>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</si>
  <si>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</si>
  <si>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</si>
  <si>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</si>
  <si>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</si>
  <si>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</si>
  <si>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</si>
  <si>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</si>
  <si>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</si>
  <si>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</si>
  <si>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</si>
  <si>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</si>
  <si>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</si>
  <si>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</si>
  <si>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</si>
  <si>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</si>
  <si>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</si>
  <si>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</si>
  <si>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</si>
  <si>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</si>
  <si>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</si>
  <si>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</si>
  <si>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</si>
  <si>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</si>
  <si>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</si>
  <si>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</si>
  <si>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</si>
  <si>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</si>
  <si>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</si>
  <si>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</si>
  <si>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</si>
  <si>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</si>
  <si>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</si>
  <si>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</si>
  <si>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</si>
  <si>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</si>
  <si>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</si>
  <si>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</si>
  <si>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</si>
  <si>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</si>
  <si>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</si>
  <si>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</si>
  <si>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</si>
  <si>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</si>
  <si>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</si>
  <si>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</si>
  <si>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</si>
  <si>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</si>
  <si>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</si>
  <si>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</si>
  <si>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</si>
  <si>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</si>
  <si>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</si>
  <si>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</si>
  <si>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</si>
  <si>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</si>
  <si>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</si>
  <si>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</si>
  <si>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</si>
  <si>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</si>
  <si>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</si>
  <si>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</si>
  <si>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</si>
  <si>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</si>
  <si>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</si>
  <si>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</si>
  <si>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</si>
  <si>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</si>
  <si>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</si>
  <si>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</si>
  <si>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</si>
  <si>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</si>
  <si>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</si>
  <si>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</si>
  <si>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</si>
  <si>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</si>
  <si>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</si>
  <si>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</si>
  <si>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</si>
  <si>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</si>
  <si>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</si>
  <si>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</si>
  <si>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</si>
  <si>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</si>
  <si>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</si>
  <si>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</si>
  <si>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</si>
  <si>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</si>
  <si>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</si>
  <si>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</si>
  <si>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</si>
  <si>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</si>
  <si>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</si>
  <si>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</si>
  <si>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</si>
  <si>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</si>
  <si>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</si>
  <si>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</si>
  <si>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</si>
  <si>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</si>
  <si>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</si>
  <si>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</si>
  <si>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</si>
  <si>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</si>
  <si>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</si>
  <si>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</si>
  <si>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</si>
  <si>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</si>
  <si>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</si>
  <si>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</si>
  <si>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</si>
  <si>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</si>
  <si>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</si>
  <si>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</si>
  <si>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</si>
  <si>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</si>
  <si>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</si>
  <si>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</si>
  <si>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</si>
  <si>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</si>
  <si>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</si>
  <si>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</si>
  <si>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</si>
  <si>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</si>
  <si>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</si>
  <si>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</si>
  <si>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</si>
  <si>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</si>
  <si>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</si>
  <si>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</si>
  <si>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</si>
  <si>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</si>
  <si>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</si>
  <si>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</si>
  <si>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</si>
  <si>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</si>
  <si>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</si>
  <si>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</si>
  <si>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</si>
  <si>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</si>
  <si>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</si>
  <si>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</si>
  <si>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</si>
  <si>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</si>
  <si>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</si>
  <si>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</si>
  <si>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</si>
  <si>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</si>
  <si>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</si>
  <si>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</si>
  <si>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</si>
  <si>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</si>
  <si>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</si>
  <si>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</si>
  <si>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</si>
  <si>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</si>
  <si>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</si>
  <si>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</si>
  <si>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</si>
  <si>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</si>
  <si>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</si>
  <si>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</si>
  <si>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</si>
  <si>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</si>
  <si>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</si>
  <si>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</si>
  <si>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</si>
  <si>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</si>
  <si>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</si>
  <si>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</si>
  <si>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</si>
  <si>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</si>
  <si>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</si>
  <si>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</si>
  <si>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</si>
  <si>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</si>
  <si>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</si>
  <si>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</si>
  <si>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</si>
  <si>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</si>
  <si>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</si>
  <si>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</si>
  <si>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</si>
  <si>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</si>
  <si>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</si>
  <si>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</si>
  <si>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</si>
  <si>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</si>
  <si>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</si>
  <si>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</si>
  <si>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</si>
  <si>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</si>
  <si>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</si>
  <si>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</si>
  <si>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</si>
  <si>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</si>
  <si>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</si>
  <si>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</si>
  <si>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</si>
  <si>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</si>
  <si>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</si>
  <si>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</si>
  <si>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</si>
  <si>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</si>
  <si>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</si>
  <si>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</si>
  <si>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</si>
  <si>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</si>
  <si>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</si>
  <si>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</si>
  <si>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</si>
  <si>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</si>
  <si>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</si>
  <si>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</si>
  <si>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</si>
  <si>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</si>
  <si>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</si>
  <si>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</si>
  <si>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</si>
  <si>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</si>
  <si>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</si>
  <si>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</si>
  <si>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</si>
  <si>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</si>
  <si>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</si>
  <si>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</si>
  <si>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</si>
  <si>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</si>
  <si>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</si>
  <si>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</si>
  <si>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</si>
  <si>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</si>
  <si>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</si>
  <si>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</si>
  <si>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</si>
  <si>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</si>
  <si>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</si>
  <si>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</si>
  <si>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</si>
  <si>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</si>
  <si>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</si>
  <si>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</si>
  <si>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</si>
  <si>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</si>
  <si>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</si>
  <si>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</si>
  <si>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</si>
  <si>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</si>
  <si>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</si>
  <si>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</si>
  <si>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</si>
  <si>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</si>
  <si>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</si>
  <si>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</si>
  <si>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</si>
  <si>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</si>
  <si>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</si>
  <si>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</si>
  <si>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</si>
  <si>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</si>
  <si>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</si>
  <si>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</si>
  <si>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</si>
  <si>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</si>
  <si>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</si>
  <si>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</si>
  <si>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</si>
  <si>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</si>
  <si>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</si>
  <si>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</si>
  <si>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</si>
  <si>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</si>
  <si>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</si>
  <si>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</si>
  <si>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</si>
  <si>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</si>
  <si>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</si>
  <si>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</si>
  <si>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</si>
  <si>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</si>
  <si>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</si>
  <si>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</si>
  <si>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</si>
  <si>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</si>
  <si>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</si>
  <si>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</si>
  <si>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</si>
  <si>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</si>
  <si>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</si>
  <si>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</si>
  <si>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</si>
  <si>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</si>
  <si>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</si>
  <si>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</si>
  <si>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</si>
  <si>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</si>
  <si>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</si>
  <si>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</si>
  <si>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</si>
  <si>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</si>
  <si>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</si>
  <si>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</si>
  <si>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</si>
  <si>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</si>
  <si>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</si>
  <si>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</si>
  <si>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</si>
  <si>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</si>
  <si>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</si>
  <si>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</si>
  <si>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</si>
  <si>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</si>
  <si>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</si>
  <si>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</si>
  <si>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</si>
  <si>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</si>
  <si>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</si>
  <si>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</si>
  <si>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</si>
  <si>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</si>
  <si>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</si>
  <si>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</si>
  <si>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</si>
  <si>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</si>
  <si>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</si>
  <si>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</si>
  <si>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</si>
  <si>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</si>
  <si>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</si>
  <si>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</si>
  <si>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</si>
  <si>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</si>
  <si>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</si>
  <si>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</si>
  <si>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</si>
  <si>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</si>
  <si>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</si>
  <si>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</si>
  <si>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</si>
  <si>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</si>
  <si>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</si>
  <si>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</si>
  <si>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</si>
  <si>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</si>
  <si>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</si>
  <si>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</si>
  <si>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</si>
  <si>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</si>
  <si>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</si>
  <si>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</si>
  <si>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</si>
  <si>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</si>
  <si>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</si>
  <si>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</si>
  <si>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</si>
  <si>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</si>
  <si>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</si>
  <si>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</si>
  <si>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</si>
  <si>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</si>
  <si>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</si>
  <si>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</si>
  <si>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</si>
  <si>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</si>
  <si>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</si>
  <si>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</si>
  <si>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</si>
  <si>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</si>
  <si>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</si>
  <si>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</si>
  <si>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</si>
  <si>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</si>
  <si>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</si>
  <si>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</si>
  <si>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</si>
  <si>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</si>
  <si>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</si>
  <si>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</si>
  <si>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</si>
  <si>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</si>
  <si>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</si>
  <si>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</si>
  <si>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</si>
  <si>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</si>
  <si>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</si>
  <si>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</si>
  <si>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</si>
  <si>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</si>
  <si>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</si>
  <si>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</si>
  <si>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</si>
  <si>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</si>
  <si>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</si>
  <si>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</si>
  <si>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</si>
  <si>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</si>
  <si>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</si>
  <si>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</si>
  <si>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</si>
  <si>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</si>
  <si>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</si>
  <si>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</si>
  <si>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</si>
  <si>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</si>
  <si>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</si>
  <si>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</si>
  <si>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</si>
  <si>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</si>
  <si>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</si>
  <si>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</si>
  <si>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</si>
  <si>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</si>
  <si>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</si>
  <si>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</si>
  <si>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</si>
  <si>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</si>
  <si>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</si>
  <si>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</si>
  <si>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</si>
  <si>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</si>
  <si>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</si>
  <si>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</si>
  <si>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</si>
  <si>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</si>
  <si>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</si>
  <si>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</si>
  <si>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</si>
  <si>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</si>
  <si>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</si>
  <si>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</si>
  <si>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</si>
  <si>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</si>
  <si>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</si>
  <si>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</si>
  <si>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</si>
  <si>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</si>
  <si>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</si>
  <si>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</si>
  <si>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</si>
  <si>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</si>
  <si>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</si>
  <si>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</si>
  <si>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</si>
  <si>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</si>
  <si>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</si>
  <si>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</si>
  <si>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</si>
  <si>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</si>
  <si>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</si>
  <si>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</si>
  <si>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</si>
  <si>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</si>
  <si>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</si>
  <si>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</si>
  <si>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</si>
  <si>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</si>
  <si>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</si>
  <si>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</si>
  <si>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</si>
  <si>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</si>
  <si>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</si>
  <si>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</si>
  <si>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</si>
  <si>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</si>
  <si>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</si>
  <si>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</si>
  <si>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</si>
  <si>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</si>
  <si>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</si>
  <si>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</si>
  <si>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</si>
  <si>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</si>
  <si>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</si>
  <si>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</si>
  <si>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</si>
  <si>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</si>
  <si>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</si>
  <si>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</si>
  <si>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</si>
  <si>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</si>
  <si>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</si>
  <si>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</si>
  <si>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</si>
  <si>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</si>
  <si>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</si>
  <si>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</si>
  <si>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</si>
  <si>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</si>
  <si>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</si>
  <si>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</si>
  <si>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</si>
  <si>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</si>
  <si>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</si>
  <si>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</si>
  <si>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</si>
  <si>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</si>
  <si>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</si>
  <si>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</si>
  <si>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</si>
  <si>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</si>
  <si>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</si>
  <si>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</si>
  <si>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</si>
  <si>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</si>
  <si>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</si>
  <si>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</si>
  <si>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</si>
  <si>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</si>
  <si>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</si>
  <si>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</si>
  <si>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</si>
  <si>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</si>
  <si>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</si>
  <si>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</si>
  <si>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</si>
  <si>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</si>
  <si>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</si>
  <si>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</si>
  <si>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</si>
  <si>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</si>
  <si>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</si>
  <si>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</si>
  <si>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</si>
  <si>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</si>
  <si>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</si>
  <si>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</si>
  <si>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</si>
  <si>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</si>
  <si>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</si>
  <si>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</si>
  <si>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</si>
  <si>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</si>
  <si>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</si>
  <si>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</si>
  <si>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</si>
  <si>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</si>
  <si>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</si>
  <si>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</si>
  <si>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</si>
  <si>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</si>
  <si>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</si>
  <si>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</si>
  <si>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</si>
  <si>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</si>
  <si>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</si>
  <si>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</si>
  <si>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</si>
  <si>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</si>
  <si>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</si>
  <si>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</si>
  <si>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</si>
  <si>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</si>
  <si>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</si>
  <si>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</si>
  <si>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</si>
  <si>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</si>
  <si>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</si>
  <si>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</si>
  <si>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</si>
  <si>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</si>
  <si>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</si>
  <si>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</si>
  <si>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</si>
  <si>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</si>
  <si>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</si>
  <si>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</si>
  <si>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</si>
  <si>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</si>
  <si>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</si>
  <si>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</si>
  <si>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</si>
  <si>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</si>
  <si>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</si>
  <si>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</si>
  <si>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</si>
  <si>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</si>
  <si>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</si>
  <si>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</si>
  <si>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</si>
  <si>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</si>
  <si>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</si>
  <si>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</si>
  <si>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</si>
  <si>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</si>
  <si>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</si>
  <si>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</si>
  <si>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</si>
  <si>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</si>
  <si>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</si>
  <si>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</si>
  <si>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</si>
  <si>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</si>
  <si>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</si>
  <si>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</si>
  <si>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</si>
  <si>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</si>
  <si>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</si>
  <si>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</si>
  <si>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</si>
  <si>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</si>
  <si>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</si>
  <si>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</si>
  <si>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</si>
  <si>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</si>
  <si>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</si>
  <si>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</si>
  <si>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</si>
  <si>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</si>
  <si>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</si>
  <si>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</si>
  <si>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</si>
  <si>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</si>
  <si>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</si>
  <si>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</si>
  <si>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</si>
  <si>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</si>
  <si>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</si>
  <si>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</si>
  <si>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</si>
  <si>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</si>
  <si>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</si>
  <si>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</si>
  <si>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</si>
  <si>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</si>
  <si>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</si>
  <si>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</si>
  <si>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</si>
  <si>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</si>
  <si>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</si>
  <si>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</si>
  <si>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</si>
  <si>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</si>
  <si>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</si>
  <si>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</si>
  <si>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</si>
  <si>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</si>
  <si>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</si>
  <si>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</si>
  <si>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</si>
  <si>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</si>
  <si>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</si>
  <si>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</si>
  <si>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</si>
  <si>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</si>
  <si>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</si>
  <si>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</si>
  <si>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</si>
  <si>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</si>
  <si>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</si>
  <si>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</si>
  <si>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</si>
  <si>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</si>
  <si>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</si>
  <si>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</si>
  <si>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</si>
  <si>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</si>
  <si>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</si>
  <si>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</si>
  <si>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</si>
  <si>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</si>
  <si>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</si>
  <si>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</si>
  <si>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</si>
  <si>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</si>
  <si>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</si>
  <si>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</si>
  <si>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</si>
  <si>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</si>
  <si>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</si>
  <si>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</si>
  <si>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</si>
  <si>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</si>
  <si>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</si>
  <si>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</si>
  <si>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</si>
  <si>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</si>
  <si>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</si>
  <si>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</si>
  <si>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</si>
  <si>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</si>
  <si>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</si>
  <si>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</si>
  <si>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</si>
  <si>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</si>
  <si>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</si>
  <si>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</si>
  <si>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</si>
  <si>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</si>
  <si>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</si>
  <si>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</si>
  <si>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</si>
  <si>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</si>
  <si>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</si>
  <si>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</si>
  <si>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</si>
  <si>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</si>
  <si>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</si>
  <si>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</si>
  <si>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</si>
  <si>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</si>
  <si>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</si>
  <si>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</si>
  <si>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</si>
  <si>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</si>
  <si>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</si>
  <si>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</si>
  <si>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</si>
  <si>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</si>
  <si>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</si>
  <si>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</si>
  <si>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</si>
  <si>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</si>
  <si>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</si>
  <si>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</si>
  <si>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</si>
  <si>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</si>
  <si>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</si>
  <si>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</si>
  <si>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</si>
  <si>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</si>
  <si>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</si>
  <si>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</si>
  <si>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</si>
  <si>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</si>
  <si>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</si>
  <si>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</si>
  <si>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</si>
  <si>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</si>
  <si>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</si>
  <si>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</si>
  <si>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</si>
  <si>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</si>
  <si>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</si>
  <si>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</si>
  <si>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</si>
  <si>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</si>
  <si>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</si>
  <si>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</si>
  <si>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</si>
  <si>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</si>
  <si>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</si>
  <si>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</si>
  <si>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</si>
  <si>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</si>
  <si>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</si>
  <si>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</si>
  <si>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</si>
  <si>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</si>
  <si>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</si>
  <si>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</si>
  <si>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</si>
  <si>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</si>
  <si>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</si>
  <si>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</si>
  <si>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</si>
  <si>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</si>
  <si>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</si>
  <si>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</si>
  <si>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</si>
  <si>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</si>
  <si>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</si>
  <si>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</si>
  <si>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</si>
  <si>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</si>
  <si>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</si>
  <si>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</si>
  <si>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</si>
  <si>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</si>
  <si>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</si>
  <si>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</si>
  <si>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</si>
  <si>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</si>
  <si>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</si>
  <si>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</si>
  <si>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</si>
  <si>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</si>
  <si>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</si>
  <si>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</si>
  <si>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</si>
  <si>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</si>
  <si>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</si>
  <si>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</si>
  <si>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</si>
  <si>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</si>
  <si>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</si>
  <si>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</si>
  <si>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</si>
  <si>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</si>
  <si>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</si>
  <si>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</si>
  <si>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</si>
  <si>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</si>
  <si>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</si>
  <si>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</si>
  <si>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</si>
  <si>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</si>
  <si>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</si>
  <si>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</si>
  <si>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</si>
  <si>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</si>
  <si>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</si>
  <si>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</si>
  <si>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</si>
  <si>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</si>
  <si>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</si>
  <si>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</si>
  <si>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</si>
  <si>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</si>
  <si>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</si>
  <si>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</si>
  <si>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</si>
  <si>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</si>
  <si>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</si>
  <si>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</si>
  <si>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</si>
  <si>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</si>
  <si>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</si>
  <si>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</si>
  <si>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</si>
  <si>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</si>
  <si>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</si>
  <si>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</si>
  <si>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</si>
  <si>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</si>
  <si>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</si>
  <si>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</si>
  <si>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</si>
  <si>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</si>
  <si>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</si>
  <si>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</si>
  <si>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</si>
  <si>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</si>
  <si>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</si>
  <si>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</si>
  <si>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</si>
  <si>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</si>
  <si>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</si>
  <si>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</si>
  <si>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</si>
  <si>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</si>
  <si>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</si>
  <si>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</si>
  <si>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</si>
  <si>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</si>
  <si>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</si>
  <si>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</si>
  <si>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</si>
  <si>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</si>
  <si>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</si>
  <si>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</si>
  <si>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</si>
  <si>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</si>
  <si>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</si>
  <si>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</si>
  <si>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</si>
  <si>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</si>
  <si>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</si>
  <si>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</si>
  <si>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</si>
  <si>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</si>
  <si>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</si>
  <si>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</si>
  <si>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</si>
  <si>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</si>
  <si>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</si>
  <si>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</si>
  <si>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</si>
  <si>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</si>
  <si>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</si>
  <si>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</si>
  <si>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</si>
  <si>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</si>
  <si>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</si>
  <si>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</si>
  <si>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</si>
  <si>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</si>
  <si>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</si>
  <si>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</si>
  <si>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</si>
  <si>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</si>
  <si>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</si>
  <si>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</si>
  <si>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</si>
  <si>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</si>
  <si>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</si>
  <si>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</si>
  <si>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</si>
  <si>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</si>
  <si>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</si>
  <si>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</si>
  <si>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</si>
  <si>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</si>
  <si>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</si>
  <si>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</si>
  <si>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</si>
  <si>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</si>
  <si>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</si>
  <si>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</si>
  <si>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</si>
  <si>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</si>
  <si>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</si>
  <si>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</si>
  <si>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</si>
  <si>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</si>
  <si>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</si>
  <si>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</si>
  <si>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</si>
  <si>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</si>
  <si>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</si>
  <si>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</si>
  <si>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</si>
  <si>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</si>
  <si>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</si>
  <si>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</si>
  <si>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</si>
  <si>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</si>
  <si>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</si>
  <si>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</si>
  <si>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</si>
  <si>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</si>
  <si>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</si>
  <si>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</si>
  <si>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</si>
  <si>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</si>
  <si>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</si>
  <si>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</si>
  <si>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</si>
  <si>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</si>
  <si>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</si>
  <si>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</si>
  <si>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</si>
  <si>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</si>
  <si>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</si>
  <si>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</si>
  <si>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</si>
  <si>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</si>
  <si>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</si>
  <si>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</si>
  <si>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</si>
  <si>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</si>
  <si>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</si>
  <si>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</si>
  <si>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</si>
  <si>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</si>
  <si>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</si>
  <si>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</si>
  <si>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</si>
  <si>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</si>
  <si>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</si>
  <si>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</si>
  <si>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</si>
  <si>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</si>
  <si>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</si>
  <si>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</si>
  <si>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</si>
  <si>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</si>
  <si>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</si>
  <si>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</si>
  <si>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</si>
  <si>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</si>
  <si>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</si>
  <si>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</si>
  <si>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</si>
  <si>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</si>
  <si>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</si>
  <si>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</si>
  <si>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</si>
  <si>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</si>
  <si>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</si>
  <si>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</si>
  <si>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</si>
  <si>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</si>
  <si>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</si>
  <si>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</si>
  <si>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</si>
  <si>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</si>
  <si>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</si>
  <si>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</si>
  <si>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</si>
  <si>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</si>
  <si>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</si>
  <si>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</si>
  <si>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</si>
  <si>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</si>
  <si>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</si>
  <si>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</si>
  <si>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</si>
  <si>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</si>
  <si>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</si>
  <si>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</si>
  <si>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</si>
  <si>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</si>
  <si>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</si>
  <si>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</si>
  <si>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</si>
  <si>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</si>
  <si>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</si>
  <si>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</si>
  <si>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</si>
  <si>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</si>
  <si>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</si>
  <si>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</si>
  <si>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</si>
  <si>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</si>
  <si>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</si>
  <si>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</si>
  <si>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</si>
  <si>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</si>
  <si>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</si>
  <si>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</si>
  <si>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</si>
  <si>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</si>
  <si>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</si>
  <si>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</si>
  <si>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</si>
  <si>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</si>
  <si>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</si>
  <si>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</si>
  <si>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</si>
  <si>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</si>
  <si>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</si>
  <si>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</si>
  <si>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</si>
  <si>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</si>
  <si>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</si>
  <si>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</si>
  <si>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</si>
  <si>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</si>
  <si>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</si>
  <si>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</si>
  <si>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</si>
  <si>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</si>
  <si>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</si>
  <si>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</si>
  <si>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</si>
  <si>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</si>
  <si>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</si>
  <si>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</si>
  <si>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</si>
  <si>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</si>
  <si>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</si>
  <si>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</si>
  <si>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</si>
  <si>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</si>
  <si>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</si>
  <si>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</si>
  <si>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</si>
  <si>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</si>
  <si>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</si>
  <si>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</si>
  <si>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</si>
  <si>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</si>
  <si>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</si>
  <si>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</si>
  <si>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</si>
  <si>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</si>
  <si>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</si>
  <si>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</si>
  <si>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</si>
  <si>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</si>
  <si>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</si>
  <si>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</si>
  <si>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</si>
  <si>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</si>
  <si>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</si>
  <si>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</si>
  <si>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</si>
  <si>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</si>
  <si>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</si>
  <si>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</si>
  <si>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</si>
  <si>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</si>
  <si>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</si>
  <si>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</si>
  <si>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</si>
  <si>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</si>
  <si>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</si>
  <si>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</si>
  <si>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</si>
  <si>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</si>
  <si>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</si>
  <si>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</si>
  <si>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</si>
  <si>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</si>
  <si>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</si>
  <si>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</si>
  <si>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</si>
  <si>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</si>
  <si>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</si>
  <si>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</si>
  <si>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</si>
  <si>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</si>
  <si>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</si>
  <si>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</si>
  <si>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</si>
  <si>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</si>
  <si>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</si>
  <si>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</si>
  <si>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</si>
  <si>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</si>
  <si>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</si>
  <si>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</si>
  <si>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</si>
  <si>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</si>
  <si>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</si>
  <si>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</si>
  <si>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</si>
  <si>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</si>
  <si>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</si>
  <si>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</si>
  <si>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</si>
  <si>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</si>
  <si>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</si>
  <si>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</si>
  <si>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</si>
  <si>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</si>
  <si>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</si>
  <si>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</si>
  <si>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</si>
  <si>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</si>
  <si>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</si>
  <si>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</si>
  <si>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</si>
  <si>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</si>
  <si>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</si>
  <si>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</si>
  <si>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</si>
  <si>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</si>
  <si>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</si>
  <si>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</si>
  <si>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</si>
  <si>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</si>
  <si>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</si>
  <si>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</si>
  <si>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</si>
  <si>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</si>
  <si>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</si>
  <si>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</si>
  <si>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</si>
  <si>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</si>
  <si>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</si>
  <si>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</si>
  <si>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</si>
  <si>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</si>
  <si>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</si>
  <si>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</si>
  <si>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</si>
  <si>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</si>
  <si>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</si>
  <si>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</si>
  <si>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</si>
  <si>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</si>
  <si>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</si>
  <si>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</si>
  <si>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</si>
  <si>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</si>
  <si>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</si>
  <si>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</si>
  <si>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</si>
  <si>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</si>
  <si>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</si>
  <si>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</si>
  <si>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</si>
  <si>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</si>
  <si>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</si>
  <si>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</si>
  <si>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</si>
  <si>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</si>
  <si>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</si>
  <si>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</si>
  <si>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</si>
  <si>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</si>
  <si>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</si>
  <si>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</si>
  <si>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</si>
  <si>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</si>
  <si>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</si>
  <si>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</si>
  <si>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</si>
  <si>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</si>
  <si>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</si>
  <si>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</si>
  <si>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</si>
  <si>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</si>
  <si>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</si>
  <si>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</si>
  <si>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</si>
  <si>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</si>
  <si>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</si>
  <si>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</si>
  <si>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</si>
  <si>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</si>
  <si>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</si>
  <si>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</si>
  <si>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</si>
  <si>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</si>
  <si>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</si>
  <si>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</si>
  <si>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</si>
  <si>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</si>
  <si>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</si>
  <si>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</si>
  <si>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</si>
  <si>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</si>
  <si>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</si>
  <si>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</si>
  <si>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</si>
  <si>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</si>
  <si>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</si>
  <si>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</si>
  <si>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</si>
  <si>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</si>
  <si>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</si>
  <si>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</si>
  <si>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</si>
  <si>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</si>
  <si>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</si>
  <si>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</si>
  <si>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</si>
  <si>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</si>
  <si>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</si>
  <si>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</si>
  <si>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</si>
  <si>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</si>
  <si>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</si>
  <si>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</si>
  <si>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</si>
  <si>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</si>
  <si>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</si>
  <si>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</si>
  <si>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</si>
  <si>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</si>
  <si>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</si>
  <si>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</si>
  <si>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</si>
  <si>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</si>
  <si>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</si>
  <si>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</si>
  <si>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</si>
  <si>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</si>
  <si>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</si>
  <si>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</si>
  <si>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</si>
  <si>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</si>
  <si>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</si>
  <si>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</si>
  <si>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</si>
  <si>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</si>
  <si>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</si>
  <si>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</si>
  <si>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</si>
  <si>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</si>
  <si>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</si>
  <si>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</si>
  <si>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</si>
  <si>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</si>
  <si>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</si>
  <si>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</si>
  <si>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</si>
  <si>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</si>
  <si>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</si>
  <si>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</si>
  <si>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</si>
  <si>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</si>
  <si>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</si>
  <si>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</si>
  <si>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</si>
  <si>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</si>
  <si>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</si>
  <si>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</si>
  <si>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</si>
  <si>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</si>
  <si>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</si>
  <si>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</si>
  <si>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</si>
  <si>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</si>
  <si>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</si>
  <si>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</si>
  <si>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</si>
  <si>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</si>
  <si>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</si>
  <si>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</si>
  <si>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</si>
  <si>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</si>
  <si>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</si>
  <si>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</si>
  <si>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</si>
  <si>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</si>
  <si>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</si>
  <si>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</si>
  <si>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</si>
  <si>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</si>
  <si>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</si>
  <si>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</si>
  <si>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</si>
  <si>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</si>
  <si>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</si>
  <si>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</si>
  <si>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</si>
  <si>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</si>
  <si>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</si>
  <si>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</si>
  <si>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</si>
  <si>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</si>
  <si>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</si>
  <si>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</si>
  <si>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</si>
  <si>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</si>
  <si>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</si>
  <si>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</si>
  <si>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</si>
  <si>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</si>
  <si>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</si>
  <si>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</si>
  <si>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</si>
  <si>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</si>
  <si>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</si>
  <si>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</si>
  <si>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</si>
  <si>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</si>
  <si>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</si>
  <si>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</si>
  <si>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</si>
  <si>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</si>
  <si>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</si>
  <si>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</si>
  <si>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</si>
  <si>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</si>
  <si>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</si>
  <si>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</si>
  <si>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</si>
  <si>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</si>
  <si>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</si>
  <si>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</si>
  <si>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</si>
  <si>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</si>
  <si>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</si>
  <si>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</si>
  <si>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</si>
  <si>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</si>
  <si>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</si>
  <si>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</si>
  <si>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</si>
  <si>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</si>
  <si>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</si>
  <si>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</si>
  <si>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</si>
  <si>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</si>
  <si>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</si>
  <si>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</si>
  <si>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</si>
  <si>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</si>
  <si>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</si>
  <si>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</si>
  <si>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</si>
  <si>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</si>
  <si>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</si>
  <si>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</si>
  <si>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</si>
  <si>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</si>
  <si>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</si>
  <si>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</si>
  <si>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</si>
  <si>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</si>
  <si>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</si>
  <si>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</si>
  <si>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</si>
  <si>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</si>
  <si>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</si>
  <si>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</si>
  <si>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</si>
  <si>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</si>
  <si>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</si>
  <si>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</si>
  <si>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</si>
  <si>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</si>
  <si>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</si>
  <si>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</si>
  <si>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</si>
  <si>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</si>
  <si>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</si>
  <si>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</si>
  <si>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</si>
  <si>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</si>
  <si>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</si>
  <si>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</si>
  <si>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</si>
  <si>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</si>
  <si>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</si>
  <si>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</si>
  <si>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</si>
  <si>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</si>
  <si>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</si>
  <si>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</si>
  <si>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</si>
  <si>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</si>
  <si>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</si>
  <si>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</si>
  <si>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</si>
  <si>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</si>
  <si>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</si>
  <si>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</si>
  <si>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</si>
  <si>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</si>
  <si>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</si>
  <si>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</si>
  <si>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</si>
  <si>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</si>
  <si>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</si>
  <si>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</si>
  <si>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</si>
  <si>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</si>
  <si>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</si>
  <si>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</si>
  <si>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</si>
  <si>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</si>
  <si>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</si>
  <si>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</si>
  <si>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</si>
  <si>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</si>
  <si>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</si>
  <si>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</si>
  <si>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</si>
  <si>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</si>
  <si>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</si>
  <si>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</si>
  <si>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</si>
  <si>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</si>
  <si>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</si>
  <si>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</si>
  <si>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</si>
  <si>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</si>
  <si>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</si>
  <si>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</si>
  <si>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</si>
  <si>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</si>
  <si>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</si>
  <si>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</si>
  <si>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</si>
  <si>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</si>
  <si>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</si>
  <si>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</si>
  <si>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</si>
  <si>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</si>
  <si>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</si>
  <si>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</si>
  <si>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</si>
  <si>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</si>
  <si>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</si>
  <si>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</si>
  <si>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</si>
  <si>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</si>
  <si>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</si>
  <si>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</si>
  <si>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</si>
  <si>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</si>
  <si>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</si>
  <si>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</si>
  <si>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</si>
  <si>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</si>
  <si>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</si>
  <si>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</si>
  <si>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</si>
  <si>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</si>
  <si>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</si>
  <si>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</si>
  <si>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</si>
  <si>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</si>
  <si>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</si>
  <si>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</si>
  <si>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</si>
  <si>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</si>
  <si>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</si>
  <si>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</si>
  <si>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</si>
  <si>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</si>
  <si>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</si>
  <si>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</si>
  <si>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</si>
  <si>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</si>
  <si>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</si>
  <si>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</si>
  <si>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</si>
  <si>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</si>
  <si>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</si>
  <si>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</si>
  <si>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</si>
  <si>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</si>
  <si>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</si>
  <si>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</si>
  <si>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</si>
  <si>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</si>
  <si>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</si>
  <si>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</si>
  <si>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</si>
  <si>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</si>
  <si>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</si>
  <si>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</si>
  <si>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</si>
  <si>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</si>
  <si>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</si>
  <si>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</si>
  <si>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</si>
  <si>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</si>
  <si>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</si>
  <si>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</si>
  <si>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</si>
  <si>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</si>
  <si>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</si>
  <si>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</si>
  <si>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</si>
  <si>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</si>
  <si>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</si>
  <si>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</si>
  <si>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</si>
  <si>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</si>
  <si>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</si>
  <si>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</si>
  <si>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</si>
  <si>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</si>
  <si>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</si>
  <si>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</si>
  <si>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</si>
  <si>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</si>
  <si>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</si>
  <si>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</si>
  <si>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</si>
  <si>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</si>
  <si>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</si>
  <si>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</si>
  <si>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</si>
  <si>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</si>
  <si>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</si>
  <si>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</si>
  <si>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</si>
  <si>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</si>
  <si>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</si>
  <si>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</si>
  <si>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</si>
  <si>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</si>
  <si>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</si>
  <si>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</si>
  <si>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</si>
  <si>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</si>
  <si>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</si>
  <si>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</si>
  <si>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</si>
  <si>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</si>
  <si>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</si>
  <si>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</si>
  <si>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</si>
  <si>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</si>
  <si>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</si>
  <si>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</si>
  <si>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</si>
  <si>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</si>
  <si>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</si>
  <si>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</si>
  <si>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</si>
  <si>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</si>
  <si>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</si>
  <si>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</si>
  <si>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</si>
  <si>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</si>
  <si>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</si>
  <si>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</si>
  <si>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</si>
  <si>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</si>
  <si>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</si>
  <si>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</si>
  <si>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</si>
  <si>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</si>
  <si>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</si>
  <si>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</si>
  <si>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</si>
  <si>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</si>
  <si>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</si>
  <si>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</si>
  <si>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</si>
  <si>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</si>
  <si>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</si>
  <si>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</si>
  <si>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</si>
  <si>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</si>
  <si>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</si>
  <si>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</si>
  <si>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</si>
  <si>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</si>
  <si>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</si>
  <si>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</si>
  <si>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</si>
  <si>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</si>
  <si>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</si>
  <si>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</si>
  <si>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</si>
  <si>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</si>
  <si>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</si>
  <si>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</si>
  <si>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</si>
  <si>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</si>
  <si>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</si>
  <si>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</si>
  <si>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</si>
  <si>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</si>
  <si>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</si>
  <si>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</si>
  <si>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</si>
  <si>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</si>
  <si>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</si>
  <si>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</si>
  <si>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</si>
  <si>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</si>
  <si>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</si>
  <si>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</si>
  <si>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</si>
  <si>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</si>
  <si>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</si>
  <si>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</si>
  <si>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</si>
  <si>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</si>
  <si>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</si>
  <si>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</si>
  <si>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</si>
  <si>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</si>
  <si>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</si>
  <si>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</si>
  <si>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</si>
  <si>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</si>
  <si>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</si>
  <si>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</si>
  <si>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</si>
  <si>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</si>
  <si>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</si>
  <si>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</si>
  <si>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</si>
  <si>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</si>
  <si>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</si>
  <si>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</si>
  <si>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</si>
  <si>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</si>
  <si>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</si>
  <si>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</si>
  <si>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</si>
  <si>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</si>
  <si>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</si>
  <si>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</si>
  <si>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</si>
  <si>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</si>
  <si>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</si>
  <si>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</si>
  <si>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</si>
  <si>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</si>
  <si>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</si>
  <si>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</si>
  <si>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</si>
  <si>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</si>
  <si>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</si>
  <si>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</si>
  <si>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</si>
  <si>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</si>
  <si>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</si>
  <si>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</si>
  <si>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</si>
  <si>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</si>
  <si>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</si>
  <si>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</si>
  <si>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</si>
  <si>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</si>
  <si>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</si>
  <si>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</si>
  <si>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</si>
  <si>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</si>
  <si>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</si>
  <si>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</si>
  <si>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</si>
  <si>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</si>
  <si>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</si>
  <si>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</si>
  <si>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</si>
  <si>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</si>
  <si>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</si>
  <si>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</si>
  <si>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</si>
  <si>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</si>
  <si>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</si>
  <si>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</si>
  <si>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</si>
  <si>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</si>
  <si>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</si>
  <si>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</si>
  <si>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</si>
  <si>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</si>
  <si>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</si>
  <si>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</si>
  <si>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</si>
  <si>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</si>
  <si>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</si>
  <si>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</si>
  <si>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</si>
  <si>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</si>
  <si>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</si>
  <si>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</si>
  <si>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</si>
  <si>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</si>
  <si>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</si>
  <si>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</si>
  <si>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</si>
  <si>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</si>
  <si>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</si>
  <si>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</si>
  <si>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</si>
  <si>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</si>
  <si>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</si>
  <si>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</si>
  <si>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</si>
  <si>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</si>
  <si>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</si>
  <si>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</si>
  <si>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</si>
  <si>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</si>
  <si>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</si>
  <si>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</si>
  <si>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</si>
  <si>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</si>
  <si>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</si>
  <si>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</si>
  <si>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</si>
  <si>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</si>
  <si>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</si>
  <si>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</si>
  <si>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</si>
  <si>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</si>
  <si>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</si>
  <si>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</si>
  <si>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</si>
  <si>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</si>
  <si>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</si>
  <si>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</si>
  <si>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</si>
  <si>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</si>
  <si>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</si>
  <si>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</si>
  <si>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</si>
  <si>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</si>
  <si>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</si>
  <si>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</si>
  <si>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</si>
  <si>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</si>
  <si>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</si>
  <si>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</si>
  <si>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</si>
  <si>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</si>
  <si>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</si>
  <si>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</si>
  <si>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</si>
  <si>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</si>
  <si>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</si>
  <si>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</si>
  <si>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</si>
  <si>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</si>
  <si>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</si>
  <si>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</si>
  <si>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</si>
  <si>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</si>
  <si>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</si>
  <si>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</si>
  <si>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</si>
  <si>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</si>
  <si>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</si>
  <si>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</si>
  <si>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</si>
  <si>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</si>
  <si>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</si>
  <si>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</si>
  <si>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</si>
  <si>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</si>
  <si>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</si>
  <si>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</si>
  <si>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</si>
  <si>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</si>
  <si>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</si>
  <si>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</si>
  <si>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</si>
  <si>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</si>
  <si>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</si>
  <si>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</si>
  <si>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</si>
  <si>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</si>
  <si>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</si>
  <si>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</si>
  <si>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</si>
  <si>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</si>
  <si>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</si>
  <si>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</si>
  <si>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</si>
  <si>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</si>
  <si>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</si>
  <si>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</si>
  <si>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</si>
  <si>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</si>
  <si>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</si>
  <si>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</si>
  <si>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</si>
  <si>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</si>
  <si>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</si>
  <si>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</si>
  <si>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</si>
  <si>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</si>
  <si>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</si>
  <si>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</si>
  <si>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</si>
  <si>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</si>
  <si>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</si>
  <si>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</si>
  <si>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</si>
  <si>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</si>
  <si>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</si>
  <si>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</si>
  <si>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</si>
  <si>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</si>
  <si>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</si>
  <si>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</si>
  <si>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</si>
  <si>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</si>
  <si>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</si>
  <si>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</si>
  <si>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</si>
  <si>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</si>
  <si>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</si>
  <si>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</si>
  <si>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</si>
  <si>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</si>
  <si>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</si>
  <si>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</si>
  <si>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</si>
  <si>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Row Labels</t>
  </si>
  <si>
    <t>Top 5 Customers</t>
  </si>
  <si>
    <t>Sales By Country</t>
  </si>
  <si>
    <t>Total Sales Of All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</si>
</sst>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
    <numFmt numFmtId="165" formatCode="dd/mmm/yyyy"/>
    <numFmt numFmtId="166" formatCode="0.0\ &quot;kg&quot;"/>
    <numFmt numFmtId="167" formatCode="_-[$$-409]* #,##0.00_ ;_-[$$-409]* \-#,##0.00\ ;_-[$$-409]* &quot;-&quot;??_ ;_-@_ "/>
    <numFmt numFmtId="168" formatCode="[$$-409]#,##0"/>
  </numFmts>
  <fonts count="6" x14ac:knownFonts="1">
    <font>
      <sz val="11"/>
      <color theme="1"/>
      <name val="Calibri"/>
      <family val="2"/>
      <scheme val="minor"/>
    </font>
    <font>
      <sz val="11"/>
      <color indexed="8"/>
      <name val="Calibri"/>
      <family val="2"/>
    </font>
    <font>
      <sz val="11"/>
      <color theme="1"/>
      <name val="Calibri"/>
      <family val="2"/>
      <scheme val="minor"/>
    </font>
    <font>
      <sz val="11"/>
      <color theme="0"/>
      <name val="Calibri"/>
      <family val="2"/>
      <scheme val="minor"/>
    </font>
    <font>
      <b/>
      <sz val="16"/>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0" fontId="0" fillId="0" borderId="0" xfId="0" applyAlignment="1">
      <alignment horizontal="left"/>
    </xf>
    <xf numFmtId="168" fontId="0" fillId="0" borderId="0" xfId="0" applyNumberFormat="1"/>
    <xf numFmtId="0" fontId="3" fillId="0" borderId="0" xfId="0" applyFont="1"/>
    <xf numFmtId="0" fontId="4" fillId="0" borderId="0" xfId="0" applyFont="1" applyAlignment="1"/>
    <xf numFmtId="0" fontId="0" fillId="0" borderId="0" xfId="0" applyAlignment="1"/>
    <xf numFmtId="0" fontId="5" fillId="0" borderId="1" xfId="0" applyFont="1" applyBorder="1" applyAlignment="1">
      <alignment horizontal="center"/>
    </xf>
    <xf numFmtId="0" fontId="0" fillId="0" borderId="1" xfId="0" applyBorder="1" applyAlignment="1">
      <alignment horizontal="center"/>
    </xf>
  </cellXfs>
  <cellStyles count="2">
    <cellStyle name="Currency" xfId="1" builtinId="4"/>
    <cellStyle name="Normal" xfId="0" builtinId="0"/>
  </cellStyles>
  <dxfs count="16">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val="0"/>
        <i val="0"/>
        <strike val="0"/>
        <condense val="0"/>
        <extend val="0"/>
        <outline val="0"/>
        <shadow val="0"/>
        <u val="none"/>
        <vertAlign val="baseline"/>
        <sz val="11"/>
        <color theme="1"/>
        <name val="Calibri"/>
        <family val="2"/>
        <scheme val="minor"/>
      </font>
      <numFmt numFmtId="167" formatCode="_-[$$-409]* #,##0.00_ ;_-[$$-409]* \-#,##0.00\ ;_-[$$-409]* &quot;-&quot;??_ ;_-@_ "/>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Puple Slicer" pivot="0" table="0" count="6" xr9:uid="{D546F9F6-5CDF-486C-A081-FAE55C769E3C}">
      <tableStyleElement type="wholeTable" dxfId="1"/>
      <tableStyleElement type="headerRow" dxfId="0"/>
    </tableStyle>
    <tableStyle name="purple timeline style" pivot="0" table="0" count="8" xr9:uid="{DFD53F57-8073-426D-B0E7-6253DF1ECDD2}">
      <tableStyleElement type="wholeTable" dxfId="15"/>
      <tableStyleElement type="headerRow" dxfId="14"/>
    </tableStyle>
  </tableStyles>
  <colors>
    <mruColors>
      <color rgb="FF97450D"/>
      <color rgb="FF3C1464"/>
      <color rgb="FF00EE6C"/>
      <color rgb="FF005024"/>
      <color rgb="FFAFFFD3"/>
      <color rgb="FF9650DC"/>
      <color rgb="FFE0CBF5"/>
    </mruColors>
  </colors>
  <extLst>
    <ext xmlns:x14="http://schemas.microsoft.com/office/spreadsheetml/2009/9/main" uri="{46F421CA-312F-682f-3DD2-61675219B42D}">
      <x14:dxfs count="8">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[coffeeOrdersData.xlsx]Pivot_tables!PivotTable1</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Pivot_tables!$C$3:$C$4</c:f>
              <c:strCache>
                <c:ptCount val="1"/>
                <c:pt idx="0">
                  <c:v>Arabica</c:v>
                </c:pt>
              </c:strCache>
            </c:strRef>
          </c:tx>
          <c:spPr>
            <a:ln w="28575" cap="rnd">
              <a:solidFill>
                <a:srgbClr val="00B0F0"/>
              </a:solidFill>
              <a:round/>
            </a:ln>
            <a:effectLst/>
          </c:spPr>
          <c:marker>
            <c:symbol val="none"/>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Pivot_tables!$C$5:$C$48</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67A-4EFF-B45A-30235D0BAB98}"/>
            </c:ext>
          </c:extLst>
        </c:ser>
        <c:ser>
          <c:idx val="1"/>
          <c:order val="1"/>
          <c:tx>
            <c:strRef>
              <c:f>Pivot_tables!$D$3:$D$4</c:f>
              <c:strCache>
                <c:ptCount val="1"/>
                <c:pt idx="0">
                  <c:v>Excelsa</c:v>
                </c:pt>
              </c:strCache>
            </c:strRef>
          </c:tx>
          <c:spPr>
            <a:ln w="28575" cap="rnd">
              <a:solidFill>
                <a:srgbClr val="97450D"/>
              </a:solidFill>
              <a:round/>
            </a:ln>
            <a:effectLst/>
          </c:spPr>
          <c:marker>
            <c:symbol val="none"/>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Pivot_tables!$D$5:$D$48</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67A-4EFF-B45A-30235D0BAB98}"/>
            </c:ext>
          </c:extLst>
        </c:ser>
        <c:ser>
          <c:idx val="2"/>
          <c:order val="2"/>
          <c:tx>
            <c:strRef>
              <c:f>Pivot_tables!$E$3:$E$4</c:f>
              <c:strCache>
                <c:ptCount val="1"/>
                <c:pt idx="0">
                  <c:v>Liberica</c:v>
                </c:pt>
              </c:strCache>
            </c:strRef>
          </c:tx>
          <c:spPr>
            <a:ln w="28575" cap="rnd">
              <a:solidFill>
                <a:srgbClr val="FFFF00"/>
              </a:solidFill>
              <a:round/>
            </a:ln>
            <a:effectLst/>
          </c:spPr>
          <c:marker>
            <c:symbol val="none"/>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Pivot_tables!$E$5:$E$48</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67A-4EFF-B45A-30235D0BAB98}"/>
            </c:ext>
          </c:extLst>
        </c:ser>
        <c:ser>
          <c:idx val="3"/>
          <c:order val="3"/>
          <c:tx>
            <c:strRef>
              <c:f>Pivot_tables!$F$3:$F$4</c:f>
              <c:strCache>
                <c:ptCount val="1"/>
                <c:pt idx="0">
                  <c:v>Robusta</c:v>
                </c:pt>
              </c:strCache>
            </c:strRef>
          </c:tx>
          <c:spPr>
            <a:ln w="28575" cap="rnd">
              <a:solidFill>
                <a:srgbClr val="FF0000"/>
              </a:solidFill>
              <a:round/>
            </a:ln>
            <a:effectLst/>
          </c:spPr>
          <c:marker>
            <c:symbol val="none"/>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Pivot_tables!$F$5:$F$48</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67A-4EFF-B45A-30235D0BAB98}"/>
            </c:ext>
          </c:extLst>
        </c:ser>
        <c:dLbls>
          <c:showLegendKey val="0"/>
          <c:showVal val="0"/>
          <c:showCatName val="0"/>
          <c:showSerName val="0"/>
          <c:showPercent val="0"/>
          <c:showBubbleSize val="0"/>
        </c:dLbls>
        <c:smooth val="0"/>
        <c:axId val="1561769616"/>
        <c:axId val="1561768656"/>
      </c:lineChart>
      <c:catAx>
        <c:axId val="156176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61768656"/>
        <c:crosses val="autoZero"/>
        <c:auto val="1"/>
        <c:lblAlgn val="ctr"/>
        <c:lblOffset val="100"/>
        <c:noMultiLvlLbl val="0"/>
      </c:catAx>
      <c:valAx>
        <c:axId val="156176865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6176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[coffeeOrdersData.xlsx]Pivot_tables!PivotTable3</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Pivot_tables!$N$3</c:f>
              <c:strCache>
                <c:ptCount val="1"/>
                <c:pt idx="0">
                  <c:v>Total</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Pivot_tables!$M$4:$M$8</c:f>
              <c:strCache>
                <c:ptCount val="5"/>
                <c:pt idx="0">
                  <c:v>Don Flintiff</c:v>
                </c:pt>
                <c:pt idx="1">
                  <c:v>Nealson Cuttler</c:v>
                </c:pt>
                <c:pt idx="2">
                  <c:v>Terri Farra</c:v>
                </c:pt>
                <c:pt idx="3">
                  <c:v>Brenn Dundredge</c:v>
                </c:pt>
                <c:pt idx="4">
                  <c:v>Allis Wilmore</c:v>
                </c:pt>
              </c:strCache>
            </c:strRef>
          </c:cat>
          <c:val>
            <c:numRef>
              <c:f>Pivot_tables!$N$4:$N$8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A363-4E56-93BB-95540CD73857}"/>
            </c:ext>
          </c:extLst>
        </c:ser>
        <c:dLbls>
          <c:dLblPos val="outEnd"/>
          <c:showLegendKey val="0"/>
          <c:showVal val="1"/>
          <c:showCatName val="0"/>
          <c:showSerName val="0"/>
          <c:showPercent val="0"/>
          <c:showBubbleSize val="0"/>
        </c:dLbls>
        <c:gapWidth val="182"/>
        <c:axId val="17697824"/>
        <c:axId val="17691584"/>
      </c:barChart>
      <c:catAx>
        <c:axId val="1769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691584"/>
        <c:crosses val="autoZero"/>
        <c:auto val="1"/>
        <c:lblAlgn val="ctr"/>
        <c:lblOffset val="100"/>
        <c:noMultiLvlLbl val="0"/>
      </c:catAx>
      <c:valAx>
        <c:axId val="17691584"/>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69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[coffeeOrdersData.xlsx]Pivot_tables!PivotTable2</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Pivot_tables!$J$3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7FD0-469B-8D74-2B792A4A0F03}"/>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7FD0-469B-8D74-2B792A4A0F03}"/>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7FD0-469B-8D74-2B792A4A0F03}"/>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Pivot_tables!$I$4:$I$6</c:f>
              <c:strCache>
                <c:ptCount val="3"/>
                <c:pt idx="0">
                  <c:v>United Kingdom</c:v>
                </c:pt>
                <c:pt idx="1">
                  <c:v>Ireland</c:v>
                </c:pt>
                <c:pt idx="2">
                  <c:v>United States</c:v>
                </c:pt>
              </c:strCache>
            </c:strRef>
          </c:cat>
          <c:val>
            <c:numRef>
              <c:f>Pivot_tables!$J$4:$J$6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FD0-469B-8D74-2B792A4A0F03}"/>
            </c:ext>
          </c:extLst>
        </c:ser>
        <c:dLbls>
          <c:dLblPos val="outEnd"/>
          <c:showLegendKey val="0"/>
          <c:showVal val="1"/>
          <c:showCatName val="0"/>
          <c:showSerName val="0"/>
          <c:showPercent val="0"/>
          <c:showBubbleSize val="0"/>
        </c:dLbls>
        <c:gapWidth val="182"/>
        <c:axId val="1954492448"/>
        <c:axId val="1954492928"/>
      </c:barChart>
      <c:catAx>
        <c:axId val="195449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54492928"/>
        <c:crosses val="autoZero"/>
        <c:auto val="1"/>
        <c:lblAlgn val="ctr"/>
        <c:lblOffset val="100"/>
        <c:noMultiLvlLbl val="0"/>
      </c:catAx>
      <c:valAx>
        <c:axId val="195449292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5449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11" name="Rectangle 10">
          <a:extLst>
            <a:ext uri="{FF2B5EF4-FFF2-40B4-BE49-F238E27FC236}">
              <a16:creationId xmlns:a16="http://schemas.microsoft.com/office/drawing/2014/main" id="{8D0009C6-1763-AAF0-9DFC-0386103E5AA0}"/>
            </a:ext>
          </a:extLst>
        </xdr:cNvPr>
        <xdr:cNvSpPr/>
      </xdr:nvSpPr>
      <xdr:spPr>
        <a:xfrm>
          <a:off x="123825" y="57150"/>
          <a:ext cx="15240000" cy="7239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a:t>
          </a:r>
          <a:r>
            <a:rPr lang="en-IN" sz="4800" baseline="0">
              <a:solidFill>
                <a:schemeClr val="bg1"/>
              </a:solidFill>
            </a:rPr>
            <a:t> SALES DASHBOARD</a:t>
          </a:r>
          <a:endParaRPr lang="en-IN" sz="4800">
            <a:solidFill>
              <a:schemeClr val="bg1"/>
            </a:solidFill>
          </a:endParaRPr>
        </a:p>
      </xdr:txBody>
    </xdr:sp>
    <xdr:clientData/>
  </xdr:twoCellAnchor>
  <xdr:twoCellAnchor>
    <xdr:from>
      <xdr:col>1</xdr:col>
      <xdr:colOff>1</xdr:colOff>
      <xdr:row>17</xdr:row>
      <xdr:rowOff>0</xdr:rowOff>
    </xdr:from>
    <xdr:to>
      <xdr:col>15</xdr:col>
      <xdr:colOff>1</xdr:colOff>
      <xdr:row>40</xdr:row>
      <xdr:rowOff>0</xdr:rowOff>
    </xdr:to>
    <xdr:graphicFrame macro="">
      <xdr:nvGraphicFramePr>
        <xdr:cNvPr id="12" name="Chart 11">
          <a:extLst>
            <a:ext uri="{FF2B5EF4-FFF2-40B4-BE49-F238E27FC236}">
              <a16:creationId xmlns:a16="http://schemas.microsoft.com/office/drawing/2014/main" id="{0DF3B213-6ECE-479D-8CD6-BE0B275EB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13" name="Order Date">
              <a:extLst>
                <a:ext uri="{FF2B5EF4-FFF2-40B4-BE49-F238E27FC236}">
                  <a16:creationId xmlns:a16="http://schemas.microsoft.com/office/drawing/2014/main" id="{4A9DE8EE-2ABC-4B2D-9702-C664458FDE2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826" y="847725"/>
              <a:ext cx="9810749" cy="1714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2268</xdr:rowOff>
    </xdr:from>
    <xdr:to>
      <xdr:col>22</xdr:col>
      <xdr:colOff>16237</xdr:colOff>
      <xdr:row>16</xdr:row>
      <xdr:rowOff>3810</xdr:rowOff>
    </xdr:to>
    <mc:AlternateContent xmlns:mc="http://schemas.openxmlformats.org/markup-compatibility/2006" xmlns:a14="http://schemas.microsoft.com/office/drawing/2010/main">
      <mc:Choice Requires="a14">
        <xdr:graphicFrame macro="">
          <xdr:nvGraphicFramePr>
            <xdr:cNvPr id="14" name="Size">
              <a:extLst>
                <a:ext uri="{FF2B5EF4-FFF2-40B4-BE49-F238E27FC236}">
                  <a16:creationId xmlns:a16="http://schemas.microsoft.com/office/drawing/2014/main" id="{2D1ACBE2-5332-4DF6-B41A-40CD306D9D5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988912" y="1657713"/>
              <a:ext cx="1828800" cy="908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19051</xdr:rowOff>
    </xdr:to>
    <mc:AlternateContent xmlns:mc="http://schemas.openxmlformats.org/markup-compatibility/2006" xmlns:a14="http://schemas.microsoft.com/office/drawing/2010/main">
      <mc:Choice Requires="a14">
        <xdr:graphicFrame macro="">
          <xdr:nvGraphicFramePr>
            <xdr:cNvPr id="15" name="Roast Type Name">
              <a:extLst>
                <a:ext uri="{FF2B5EF4-FFF2-40B4-BE49-F238E27FC236}">
                  <a16:creationId xmlns:a16="http://schemas.microsoft.com/office/drawing/2014/main" id="{99252530-A5E5-4AA5-8161-97AA62BC49A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934575" y="866776"/>
              <a:ext cx="3762375"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16" name="Loyalty Card">
              <a:extLst>
                <a:ext uri="{FF2B5EF4-FFF2-40B4-BE49-F238E27FC236}">
                  <a16:creationId xmlns:a16="http://schemas.microsoft.com/office/drawing/2014/main" id="{279D2CED-EA89-4843-893E-C4F2B737597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868150" y="1657350"/>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27</xdr:row>
      <xdr:rowOff>47625</xdr:rowOff>
    </xdr:from>
    <xdr:to>
      <xdr:col>26</xdr:col>
      <xdr:colOff>0</xdr:colOff>
      <xdr:row>40</xdr:row>
      <xdr:rowOff>0</xdr:rowOff>
    </xdr:to>
    <xdr:graphicFrame macro="">
      <xdr:nvGraphicFramePr>
        <xdr:cNvPr id="17" name="Chart 16">
          <a:extLst>
            <a:ext uri="{FF2B5EF4-FFF2-40B4-BE49-F238E27FC236}">
              <a16:creationId xmlns:a16="http://schemas.microsoft.com/office/drawing/2014/main" id="{7B1B5122-962F-42DF-96E8-6C5CA97A7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17</xdr:row>
      <xdr:rowOff>0</xdr:rowOff>
    </xdr:from>
    <xdr:to>
      <xdr:col>26</xdr:col>
      <xdr:colOff>0</xdr:colOff>
      <xdr:row>27</xdr:row>
      <xdr:rowOff>0</xdr:rowOff>
    </xdr:to>
    <xdr:graphicFrame macro="">
      <xdr:nvGraphicFramePr>
        <xdr:cNvPr id="18" name="Chart 17">
          <a:extLst>
            <a:ext uri="{FF2B5EF4-FFF2-40B4-BE49-F238E27FC236}">
              <a16:creationId xmlns:a16="http://schemas.microsoft.com/office/drawing/2014/main" id="{75C4D22A-9D63-439D-AC37-BF4AF00C9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EER AHMAD" refreshedDate="45910.963673495367" createdVersion="8" refreshedVersion="8" minRefreshableVersion="3" recordCount="1000" xr:uid="{106348AA-14AA-4FB2-AC74-8453C57183C2}">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204359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3272BA-D377-40EC-AAD6-4646AAF4BBF3}"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F48" firstHeaderRow="1" firstDataRow="2" firstDataCol="2"/>
  <pivotFields count="18">
    <pivotField compact="0" outline="0" subtotalTop="0" showAll="0" defaultSubtotal="0"/>
    <pivotField compact="0"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4">
        <item x="3"/>
        <item x="1"/>
        <item x="0"/>
        <item x="2"/>
      </items>
    </pivotField>
    <pivotField compact="0" outline="0" subtotalTop="0" showAll="0" defaultSubtotal="0"/>
    <pivotField dataField="1" compact="0"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6" baseItem="3" numFmtId="168"/>
  </dataFields>
  <chartFormats count="12">
    <chartFormat chart="7" format="32" series="1">
      <pivotArea type="data" outline="0" fieldPosition="0">
        <references count="1">
          <reference field="13" count="1" selected="0">
            <x v="0"/>
          </reference>
        </references>
      </pivotArea>
    </chartFormat>
    <chartFormat chart="7" format="33" series="1">
      <pivotArea type="data" outline="0" fieldPosition="0">
        <references count="1">
          <reference field="13" count="1" selected="0">
            <x v="1"/>
          </reference>
        </references>
      </pivotArea>
    </chartFormat>
    <chartFormat chart="7" format="34" series="1">
      <pivotArea type="data" outline="0" fieldPosition="0">
        <references count="1">
          <reference field="13" count="1" selected="0">
            <x v="2"/>
          </reference>
        </references>
      </pivotArea>
    </chartFormat>
    <chartFormat chart="7" format="35" series="1">
      <pivotArea type="data" outline="0" fieldPosition="0">
        <references count="1">
          <reference field="13" count="1" selected="0">
            <x v="3"/>
          </reference>
        </references>
      </pivotArea>
    </chartFormat>
    <chartFormat chart="22" format="4" series="1">
      <pivotArea type="data" outline="0" fieldPosition="0">
        <references count="2">
          <reference field="4294967294" count="1" selected="0">
            <x v="0"/>
          </reference>
          <reference field="13" count="1" selected="0">
            <x v="0"/>
          </reference>
        </references>
      </pivotArea>
    </chartFormat>
    <chartFormat chart="22" format="5" series="1">
      <pivotArea type="data" outline="0" fieldPosition="0">
        <references count="2">
          <reference field="4294967294" count="1" selected="0">
            <x v="0"/>
          </reference>
          <reference field="13" count="1" selected="0">
            <x v="1"/>
          </reference>
        </references>
      </pivotArea>
    </chartFormat>
    <chartFormat chart="22" format="6" series="1">
      <pivotArea type="data" outline="0" fieldPosition="0">
        <references count="2">
          <reference field="4294967294" count="1" selected="0">
            <x v="0"/>
          </reference>
          <reference field="13" count="1" selected="0">
            <x v="2"/>
          </reference>
        </references>
      </pivotArea>
    </chartFormat>
    <chartFormat chart="22" format="7" series="1">
      <pivotArea type="data" outline="0" fieldPosition="0">
        <references count="2">
          <reference field="4294967294" count="1" selected="0">
            <x v="0"/>
          </reference>
          <reference field="13" count="1" selected="0">
            <x v="3"/>
          </reference>
        </references>
      </pivotArea>
    </chartFormat>
    <chartFormat chart="7" format="36" series="1">
      <pivotArea type="data" outline="0" fieldPosition="0">
        <references count="2">
          <reference field="4294967294" count="1" selected="0">
            <x v="0"/>
          </reference>
          <reference field="13" count="1" selected="0">
            <x v="0"/>
          </reference>
        </references>
      </pivotArea>
    </chartFormat>
    <chartFormat chart="7" format="37" series="1">
      <pivotArea type="data" outline="0" fieldPosition="0">
        <references count="2">
          <reference field="4294967294" count="1" selected="0">
            <x v="0"/>
          </reference>
          <reference field="13" count="1" selected="0">
            <x v="1"/>
          </reference>
        </references>
      </pivotArea>
    </chartFormat>
    <chartFormat chart="7" format="38" series="1">
      <pivotArea type="data" outline="0" fieldPosition="0">
        <references count="2">
          <reference field="4294967294" count="1" selected="0">
            <x v="0"/>
          </reference>
          <reference field="13" count="1" selected="0">
            <x v="2"/>
          </reference>
        </references>
      </pivotArea>
    </chartFormat>
    <chartFormat chart="7" format="3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28E2C5-51F2-4F83-BC77-18F111932BAB}"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M3:N8"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5">
    <i>
      <x v="255"/>
    </i>
    <i>
      <x v="646"/>
    </i>
    <i>
      <x v="831"/>
    </i>
    <i>
      <x v="125"/>
    </i>
    <i>
      <x v="28"/>
    </i>
  </rowItems>
  <colItems count="1">
    <i/>
  </colItems>
  <dataFields count="1">
    <dataField name="Sum of Sales" fld="12" baseField="5" baseItem="81" numFmtId="168"/>
  </dataFields>
  <chartFormats count="1">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F82A53-A802-4DD7-8168-F5A77CA96237}"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rowHeaderCaption="Country">
  <location ref="I3:J6"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3">
    <i>
      <x v="1"/>
    </i>
    <i>
      <x/>
    </i>
    <i>
      <x v="2"/>
    </i>
  </rowItems>
  <colItems count="1">
    <i/>
  </colItems>
  <dataFields count="1">
    <dataField name="Sum of Sales" fld="12" baseField="7" baseItem="1" numFmtId="168"/>
  </dataField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831BAEA-B331-4666-A4E9-451C4427E63D}" sourceName="Size">
  <pivotTables>
    <pivotTable tabId="18" name="PivotTable1"/>
    <pivotTable tabId="18" name="PivotTable2"/>
    <pivotTable tabId="18" name="PivotTable3"/>
  </pivotTables>
  <data>
    <tabular pivotCacheId="20435965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E2C50CF-B26B-4CCC-8BA4-6B0062533B1B}" sourceName="Roast Type Name">
  <pivotTables>
    <pivotTable tabId="18" name="PivotTable1"/>
    <pivotTable tabId="18" name="PivotTable2"/>
    <pivotTable tabId="18" name="PivotTable3"/>
  </pivotTables>
  <data>
    <tabular pivotCacheId="20435965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8A3EF91-49BD-4DF5-A763-826748562A33}" sourceName="Loyalty Card">
  <pivotTables>
    <pivotTable tabId="18" name="PivotTable1"/>
    <pivotTable tabId="18" name="PivotTable2"/>
    <pivotTable tabId="18" name="PivotTable3"/>
  </pivotTables>
  <data>
    <tabular pivotCacheId="20435965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D58C921-1958-4D3A-811D-A6FD5D9356E1}" cache="Slicer_Size" caption="Size" columnCount="2" style="Puple Slicer" rowHeight="234950"/>
  <slicer name="Roast Type Name" xr10:uid="{59AE59C9-D3D2-4AEA-8534-EC301BF74676}" cache="Slicer_Roast_Type_Name" caption="Roast Type Name" columnCount="3" style="Puple Slicer" rowHeight="234950"/>
  <slicer name="Loyalty Card" xr10:uid="{FF087B81-2E8F-4D75-AB41-C60EBCD01BAA}" cache="Slicer_Loyalty_Card" caption="Loyalty Card" style="Pu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3BCE46-2D90-445C-A7C2-DCD32872B3D6}" name="Table1" displayName="Table1" ref="A1:P1001" totalsRowShown="0" headerRowDxfId="13">
  <autoFilter ref="A1:P1001" xr:uid="{FB3BCE46-2D90-445C-A7C2-DCD32872B3D6}"/>
  <tableColumns count="16">
    <tableColumn id="1" xr3:uid="{3183F910-517D-4B6D-AF9E-743387596F90}" name="Order ID" dataDxfId="12"/>
    <tableColumn id="2" xr3:uid="{58F748CD-8E52-4AC3-B848-79131E19017E}" name="Order Date" dataDxfId="11"/>
    <tableColumn id="3" xr3:uid="{BB500049-3990-4630-A89B-94067A14C439}" name="Customer ID" dataDxfId="10"/>
    <tableColumn id="4" xr3:uid="{26352507-0AFA-4871-A12D-A0BB64CAB6D9}" name="Product ID"/>
    <tableColumn id="5" xr3:uid="{19A11DD7-97E3-43B6-976E-4C939B1FD794}" name="Quantity" dataDxfId="9"/>
    <tableColumn id="6" xr3:uid="{CDB51F01-45BD-4062-89C1-FA2449767F5E}" name="Customer Name" dataDxfId="8">
      <calculatedColumnFormula>_xlfn.XLOOKUP(C2,customers!$A$1:$A$1001,customers!$B$1:$B$1001,,0)</calculatedColumnFormula>
    </tableColumn>
    <tableColumn id="7" xr3:uid="{0C242C37-4CAD-4649-BD7F-DB45B92E60DE}" name="Email" dataDxfId="7">
      <calculatedColumnFormula>IF(_xlfn.XLOOKUP(C2,customers!$A$1:$A$1001,customers!$C$1:$C$1001,,0)=0,"Not _Provided",_xlfn.XLOOKUP(C2,customers!$A$1:$A$1001,customers!$C$1:$C$1001,,0))</calculatedColumnFormula>
    </tableColumn>
    <tableColumn id="8" xr3:uid="{7D62B590-147F-4555-B7F2-BEADA00B35FA}" name="Country" dataDxfId="6">
      <calculatedColumnFormula>_xlfn.XLOOKUP(C2,customers!$A$1:$A$1001,customers!$G$1:$G$1001,,0)</calculatedColumnFormula>
    </tableColumn>
    <tableColumn id="9" xr3:uid="{F4D208F9-2CA8-4130-8EA4-808A0AFEC092}" name="Coffee Type">
      <calculatedColumnFormula>INDEX(products!$B$1:$B$49,MATCH($D2,products!$A$1:$A$49,0))</calculatedColumnFormula>
    </tableColumn>
    <tableColumn id="10" xr3:uid="{0955E255-320B-4EAF-88E3-FB7BC33929F4}" name="Roast Type">
      <calculatedColumnFormula>INDEX(products!$C$1:$C$49,MATCH($D2,products!$A$1:$A$49,0))</calculatedColumnFormula>
    </tableColumn>
    <tableColumn id="11" xr3:uid="{6BEC54B0-CF78-4E65-9A07-86B566034F70}" name="Size" dataDxfId="5">
      <calculatedColumnFormula>INDEX(products!$D$1:$D$49,MATCH($D2,products!$A$1:$A$49,0))</calculatedColumnFormula>
    </tableColumn>
    <tableColumn id="12" xr3:uid="{72438BC0-7119-44BE-9DBF-CB1FA4ACA03C}" name="Unit Price" dataDxfId="4" dataCellStyle="Currency">
      <calculatedColumnFormula>INDEX(products!$E$1:$E$49,MATCH($D2,products!$A$1:$A$49,0))</calculatedColumnFormula>
    </tableColumn>
    <tableColumn id="13" xr3:uid="{8E59E3BE-A58C-4462-A6C3-BA721048EFF8}" name="Sales" dataDxfId="3" dataCellStyle="Currency">
      <calculatedColumnFormula>E2*L2</calculatedColumnFormula>
    </tableColumn>
    <tableColumn id="14" xr3:uid="{1A7F7332-8447-4E5D-9D94-FA03BE63FBD4}" name="Coffee Type Name">
      <calculatedColumnFormula array="1">_xlfn.IFS(I2="Rob","Robusta",I2="Exc","Excelsa",I2="Ara","Arabica",I2="Lib","Liberica")</calculatedColumnFormula>
    </tableColumn>
    <tableColumn id="15" xr3:uid="{92E81A69-A3CF-4570-9EE8-84CBA87DC682}" name="Roast Type Name">
      <calculatedColumnFormula array="1">_xlfn.SWITCH($J2,"M","Medium","L","Light","D","Dark")</calculatedColumnFormula>
    </tableColumn>
    <tableColumn id="16" xr3:uid="{93669D77-CA2A-437E-A0BB-E33A89B7453B}" name="Loyalty Card" dataDxfId="2">
      <calculatedColumnFormula>_xlfn.XLOOKUP(Table1[[#This Row],[Customer ID]],customers!$A$1:$A$1001,customers!$I$1:$I$1001,,0)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C662B39-7D94-4763-B979-043C2D25AE45}" sourceName="Order Date">
  <pivotTables>
    <pivotTable tabId="18" name="PivotTable1"/>
    <pivotTable tabId="18" name="PivotTable2"/>
    <pivotTable tabId="18" name="PivotTable3"/>
  </pivotTables>
  <state minimalRefreshVersion="6" lastRefreshVersion="6" pivotCacheId="20435965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B6F10B4-3A36-408D-91A7-7D1A5A793250}" cache="NativeTimeline_Order_Date" caption="Order Date" level="2" selectionLevel="2" scrollPosition="2020-05-13T00:00:00" style="purple timeline style"/>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F49" sqref="F49"/>
    </sheetView>
  </sheetViews>
  <sheetFormatPr defaultRowHeight="14.4" x14ac:dyDescent="0.3"/>
  <cols>
    <col min="1" max="1" width="16.44140625" bestFit="1" customWidth="1"/>
    <col min="2" max="2" width="14.109375" bestFit="1" customWidth="1"/>
    <col min="3" max="3" width="17.44140625" bestFit="1" customWidth="1"/>
    <col min="4" max="4" width="13.33203125" bestFit="1" customWidth="1"/>
    <col min="5" max="5" width="11.88671875" bestFit="1" customWidth="1"/>
    <col min="6" max="6" width="23.44140625" bestFit="1" customWidth="1"/>
    <col min="7" max="7" width="38.33203125" bestFit="1" customWidth="1"/>
    <col min="8" max="8" width="15" bestFit="1" customWidth="1"/>
    <col min="9" max="9" width="14.5546875" bestFit="1" customWidth="1"/>
    <col min="10" max="10" width="13.5546875" bestFit="1" customWidth="1"/>
    <col min="11" max="11" width="7.5546875" bestFit="1" customWidth="1"/>
    <col min="12" max="12" width="12.6640625" bestFit="1" customWidth="1"/>
    <col min="13" max="13" width="9.33203125" bestFit="1" customWidth="1"/>
    <col min="14" max="14" width="20.44140625" bestFit="1" customWidth="1"/>
    <col min="15" max="15" width="19.44140625" bestFit="1"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IF(_xlfn.XLOOKUP(C2,customers!$A$1:$A$1001,customers!$C$1:$C$1001,,0)=0,"Not _Provided",_xlfn.XLOOKUP(C2,customers!$A$1:$A$1001,customers!$C$1:$C$1001,,0))</f>
        <v>aallner0@lulu.com</v>
      </c>
      <c r="H2" s="2" t="str">
        <f>_xlfn.XLOOKUP(C2,customers!$A$1:$A$1001,customers!$G$1:$G$1001,,0)</f>
        <v>United States</v>
      </c>
      <c r="I2" t="str">
        <f>INDEX(products!$B$1:$B$49,MATCH($D2,products!$A$1:$A$49,0))</f>
        <v>Rob</v>
      </c>
      <c r="J2" t="str">
        <f>INDEX(products!$C$1:$C$49,MATCH($D2,products!$A$1:$A$49,0))</f>
        <v>M</v>
      </c>
      <c r="K2" s="4">
        <f>INDEX(products!$D$1:$D$49,MATCH($D2,products!$A$1:$A$49,0))</f>
        <v>1</v>
      </c>
      <c r="L2" s="5">
        <f>INDEX(products!$E$1:$E$49,MATCH($D2,products!$A$1:$A$49,0))</f>
        <v>9.9499999999999993</v>
      </c>
      <c r="M2" s="5">
        <f>E2*L2</f>
        <v>19.899999999999999</v>
      </c>
      <c r="N2" t="str" cm="1">
        <f t="array" ref="N2">_xlfn.IFS(I2="Rob","Robusta",I2="Exc","Excelsa",I2="Ara","Arabica",I2="Lib","Liberica")</f>
        <v>Robusta</v>
      </c>
      <c r="O2" t="str" cm="1">
        <f t="array" ref="O2">_xlfn.SWITCH($J2,"M","Medium","L","Light","D","Dark")</f>
        <v>Medium</v>
      </c>
      <c r="P2" t="str">
        <f>_xlfn.XLOOKUP(Table1[[#This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IF(_xlfn.XLOOKUP(C3,customers!$A$1:$A$1001,customers!$C$1:$C$1001,,0)=0,"Not _Provided",_xlfn.XLOOKUP(C3,customers!$A$1:$A$1001,customers!$C$1:$C$1001,,0))</f>
        <v>aallner0@lulu.com</v>
      </c>
      <c r="H3" s="2" t="str">
        <f>_xlfn.XLOOKUP(C3,customers!$A$1:$A$1001,customers!$G$1:$G$1001,,0)</f>
        <v>United States</v>
      </c>
      <c r="I3" t="str">
        <f>INDEX(products!$B$1:$B$49,MATCH($D3,products!$A$1:$A$49,0))</f>
        <v>Exc</v>
      </c>
      <c r="J3" t="str">
        <f>INDEX(products!$C$1:$C$49,MATCH($D3,products!$A$1:$A$49,0))</f>
        <v>M</v>
      </c>
      <c r="K3" s="4">
        <f>INDEX(products!$D$1:$D$49,MATCH($D3,products!$A$1:$A$49,0))</f>
        <v>0.5</v>
      </c>
      <c r="L3" s="5">
        <f>INDEX(products!$E$1:$E$49,MATCH($D3,products!$A$1:$A$49,0))</f>
        <v>8.25</v>
      </c>
      <c r="M3" s="5">
        <f t="shared" ref="M3:M66" si="0">E3*L3</f>
        <v>41.25</v>
      </c>
      <c r="N3" t="str" cm="1">
        <f t="array" ref="N3">_xlfn.IFS(I3="Rob","Robusta",I3="Exc","Excelsa",I3="Ara","Arabica",I3="Lib","Liberica")</f>
        <v>Excelsa</v>
      </c>
      <c r="O3" t="str" cm="1">
        <f t="array" ref="O3">_xlfn.SWITCH($J3,"M","Medium","L","Light","D","Dark")</f>
        <v>Medium</v>
      </c>
      <c r="P3" t="str">
        <f>_xlfn.XLOOKUP(Table1[[#This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IF(_xlfn.XLOOKUP(C4,customers!$A$1:$A$1001,customers!$C$1:$C$1001,,0)=0,"Not _Provided",_xlfn.XLOOKUP(C4,customers!$A$1:$A$1001,customers!$C$1:$C$1001,,0))</f>
        <v>jredholes2@tmall.com</v>
      </c>
      <c r="H4" s="2" t="str">
        <f>_xlfn.XLOOKUP(C4,customers!$A$1:$A$1001,customers!$G$1:$G$1001,,0)</f>
        <v>United States</v>
      </c>
      <c r="I4" t="str">
        <f>INDEX(products!$B$1:$B$49,MATCH($D4,products!$A$1:$A$49,0))</f>
        <v>Ara</v>
      </c>
      <c r="J4" t="str">
        <f>INDEX(products!$C$1:$C$49,MATCH($D4,products!$A$1:$A$49,0))</f>
        <v>L</v>
      </c>
      <c r="K4" s="4">
        <f>INDEX(products!$D$1:$D$49,MATCH($D4,products!$A$1:$A$49,0))</f>
        <v>1</v>
      </c>
      <c r="L4" s="5">
        <f>INDEX(products!$E$1:$E$49,MATCH($D4,products!$A$1:$A$49,0))</f>
        <v>12.95</v>
      </c>
      <c r="M4" s="5">
        <f t="shared" si="0"/>
        <v>12.95</v>
      </c>
      <c r="N4" t="str" cm="1">
        <f t="array" ref="N4">_xlfn.IFS(I4="Rob","Robusta",I4="Exc","Excelsa",I4="Ara","Arabica",I4="Lib","Liberica")</f>
        <v>Arabica</v>
      </c>
      <c r="O4" t="str" cm="1">
        <f t="array" ref="O4">_xlfn.SWITCH($J4,"M","Medium","L","Light","D","Dark")</f>
        <v>Light</v>
      </c>
      <c r="P4" t="str">
        <f>_xlfn.XLOOKUP(Table1[[#This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IF(_xlfn.XLOOKUP(C5,customers!$A$1:$A$1001,customers!$C$1:$C$1001,,0)=0,"Not _Provided",_xlfn.XLOOKUP(C5,customers!$A$1:$A$1001,customers!$C$1:$C$1001,,0))</f>
        <v>Not _Provided</v>
      </c>
      <c r="H5" s="2" t="str">
        <f>_xlfn.XLOOKUP(C5,customers!$A$1:$A$1001,customers!$G$1:$G$1001,,0)</f>
        <v>Ireland</v>
      </c>
      <c r="I5" t="str">
        <f>INDEX(products!$B$1:$B$49,MATCH($D5,products!$A$1:$A$49,0))</f>
        <v>Exc</v>
      </c>
      <c r="J5" t="str">
        <f>INDEX(products!$C$1:$C$49,MATCH($D5,products!$A$1:$A$49,0))</f>
        <v>M</v>
      </c>
      <c r="K5" s="4">
        <f>INDEX(products!$D$1:$D$49,MATCH($D5,products!$A$1:$A$49,0))</f>
        <v>1</v>
      </c>
      <c r="L5" s="5">
        <f>INDEX(products!$E$1:$E$49,MATCH($D5,products!$A$1:$A$49,0))</f>
        <v>13.75</v>
      </c>
      <c r="M5" s="5">
        <f t="shared" si="0"/>
        <v>27.5</v>
      </c>
      <c r="N5" t="str" cm="1">
        <f t="array" ref="N5">_xlfn.IFS(I5="Rob","Robusta",I5="Exc","Excelsa",I5="Ara","Arabica",I5="Lib","Liberica")</f>
        <v>Excelsa</v>
      </c>
      <c r="O5" t="str" cm="1">
        <f t="array" ref="O5">_xlfn.SWITCH($J5,"M","Medium","L","Light","D","Dark")</f>
        <v>Medium</v>
      </c>
      <c r="P5" t="str">
        <f>_xlfn.XLOOKUP(Table1[[#This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IF(_xlfn.XLOOKUP(C6,customers!$A$1:$A$1001,customers!$C$1:$C$1001,,0)=0,"Not _Provided",_xlfn.XLOOKUP(C6,customers!$A$1:$A$1001,customers!$C$1:$C$1001,,0))</f>
        <v>Not _Provided</v>
      </c>
      <c r="H6" s="2" t="str">
        <f>_xlfn.XLOOKUP(C6,customers!$A$1:$A$1001,customers!$G$1:$G$1001,,0)</f>
        <v>Ireland</v>
      </c>
      <c r="I6" t="str">
        <f>INDEX(products!$B$1:$B$49,MATCH($D6,products!$A$1:$A$49,0))</f>
        <v>Rob</v>
      </c>
      <c r="J6" t="str">
        <f>INDEX(products!$C$1:$C$49,MATCH($D6,products!$A$1:$A$49,0))</f>
        <v>L</v>
      </c>
      <c r="K6" s="4">
        <f>INDEX(products!$D$1:$D$49,MATCH($D6,products!$A$1:$A$49,0))</f>
        <v>2.5</v>
      </c>
      <c r="L6" s="5">
        <f>INDEX(products!$E$1:$E$49,MATCH($D6,products!$A$1:$A$49,0))</f>
        <v>27.484999999999996</v>
      </c>
      <c r="M6" s="5">
        <f t="shared" si="0"/>
        <v>54.969999999999992</v>
      </c>
      <c r="N6" t="str" cm="1">
        <f t="array" ref="N6">_xlfn.IFS(I6="Rob","Robusta",I6="Exc","Excelsa",I6="Ara","Arabica",I6="Lib","Liberica")</f>
        <v>Robusta</v>
      </c>
      <c r="O6" t="str" cm="1">
        <f t="array" ref="O6">_xlfn.SWITCH($J6,"M","Medium","L","Light","D","Dark")</f>
        <v>Light</v>
      </c>
      <c r="P6" t="str">
        <f>_xlfn.XLOOKUP(Table1[[#This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IF(_xlfn.XLOOKUP(C7,customers!$A$1:$A$1001,customers!$C$1:$C$1001,,0)=0,"Not _Provided",_xlfn.XLOOKUP(C7,customers!$A$1:$A$1001,customers!$C$1:$C$1001,,0))</f>
        <v>Not _Provided</v>
      </c>
      <c r="H7" s="2" t="str">
        <f>_xlfn.XLOOKUP(C7,customers!$A$1:$A$1001,customers!$G$1:$G$1001,,0)</f>
        <v>United States</v>
      </c>
      <c r="I7" t="str">
        <f>INDEX(products!$B$1:$B$49,MATCH($D7,products!$A$1:$A$49,0))</f>
        <v>Lib</v>
      </c>
      <c r="J7" t="str">
        <f>INDEX(products!$C$1:$C$49,MATCH($D7,products!$A$1:$A$49,0))</f>
        <v>D</v>
      </c>
      <c r="K7" s="4">
        <f>INDEX(products!$D$1:$D$49,MATCH($D7,products!$A$1:$A$49,0))</f>
        <v>1</v>
      </c>
      <c r="L7" s="5">
        <f>INDEX(products!$E$1:$E$49,MATCH($D7,products!$A$1:$A$49,0))</f>
        <v>12.95</v>
      </c>
      <c r="M7" s="5">
        <f t="shared" si="0"/>
        <v>38.849999999999994</v>
      </c>
      <c r="N7" t="str" cm="1">
        <f t="array" ref="N7">_xlfn.IFS(I7="Rob","Robusta",I7="Exc","Excelsa",I7="Ara","Arabica",I7="Lib","Liberica")</f>
        <v>Liberica</v>
      </c>
      <c r="O7" t="str" cm="1">
        <f t="array" ref="O7">_xlfn.SWITCH($J7,"M","Medium","L","Light","D","Dark")</f>
        <v>Dark</v>
      </c>
      <c r="P7" t="str">
        <f>_xlfn.XLOOKUP(Table1[[#This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IF(_xlfn.XLOOKUP(C8,customers!$A$1:$A$1001,customers!$C$1:$C$1001,,0)=0,"Not _Provided",_xlfn.XLOOKUP(C8,customers!$A$1:$A$1001,customers!$C$1:$C$1001,,0))</f>
        <v>slobe6@nifty.com</v>
      </c>
      <c r="H8" s="2" t="str">
        <f>_xlfn.XLOOKUP(C8,customers!$A$1:$A$1001,customers!$G$1:$G$1001,,0)</f>
        <v>United States</v>
      </c>
      <c r="I8" t="str">
        <f>INDEX(products!$B$1:$B$49,MATCH($D8,products!$A$1:$A$49,0))</f>
        <v>Exc</v>
      </c>
      <c r="J8" t="str">
        <f>INDEX(products!$C$1:$C$49,MATCH($D8,products!$A$1:$A$49,0))</f>
        <v>D</v>
      </c>
      <c r="K8" s="4">
        <f>INDEX(products!$D$1:$D$49,MATCH($D8,products!$A$1:$A$49,0))</f>
        <v>0.5</v>
      </c>
      <c r="L8" s="5">
        <f>INDEX(products!$E$1:$E$49,MATCH($D8,products!$A$1:$A$49,0))</f>
        <v>7.29</v>
      </c>
      <c r="M8" s="5">
        <f t="shared" si="0"/>
        <v>21.87</v>
      </c>
      <c r="N8" t="str" cm="1">
        <f t="array" ref="N8">_xlfn.IFS(I8="Rob","Robusta",I8="Exc","Excelsa",I8="Ara","Arabica",I8="Lib","Liberica")</f>
        <v>Excelsa</v>
      </c>
      <c r="O8" t="str" cm="1">
        <f t="array" ref="O8">_xlfn.SWITCH($J8,"M","Medium","L","Light","D","Dark")</f>
        <v>Dark</v>
      </c>
      <c r="P8" t="str">
        <f>_xlfn.XLOOKUP(Table1[[#This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IF(_xlfn.XLOOKUP(C9,customers!$A$1:$A$1001,customers!$C$1:$C$1001,,0)=0,"Not _Provided",_xlfn.XLOOKUP(C9,customers!$A$1:$A$1001,customers!$C$1:$C$1001,,0))</f>
        <v>Not _Provided</v>
      </c>
      <c r="H9" s="2" t="str">
        <f>_xlfn.XLOOKUP(C9,customers!$A$1:$A$1001,customers!$G$1:$G$1001,,0)</f>
        <v>Ireland</v>
      </c>
      <c r="I9" t="str">
        <f>INDEX(products!$B$1:$B$49,MATCH($D9,products!$A$1:$A$49,0))</f>
        <v>Lib</v>
      </c>
      <c r="J9" t="str">
        <f>INDEX(products!$C$1:$C$49,MATCH($D9,products!$A$1:$A$49,0))</f>
        <v>L</v>
      </c>
      <c r="K9" s="4">
        <f>INDEX(products!$D$1:$D$49,MATCH($D9,products!$A$1:$A$49,0))</f>
        <v>0.2</v>
      </c>
      <c r="L9" s="5">
        <f>INDEX(products!$E$1:$E$49,MATCH($D9,products!$A$1:$A$49,0))</f>
        <v>4.7549999999999999</v>
      </c>
      <c r="M9" s="5">
        <f t="shared" si="0"/>
        <v>4.7549999999999999</v>
      </c>
      <c r="N9" t="str" cm="1">
        <f t="array" ref="N9">_xlfn.IFS(I9="Rob","Robusta",I9="Exc","Excelsa",I9="Ara","Arabica",I9="Lib","Liberica")</f>
        <v>Liberica</v>
      </c>
      <c r="O9" t="str" cm="1">
        <f t="array" ref="O9">_xlfn.SWITCH($J9,"M","Medium","L","Light","D","Dark")</f>
        <v>Light</v>
      </c>
      <c r="P9" t="str">
        <f>_xlfn.XLOOKUP(Table1[[#This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IF(_xlfn.XLOOKUP(C10,customers!$A$1:$A$1001,customers!$C$1:$C$1001,,0)=0,"Not _Provided",_xlfn.XLOOKUP(C10,customers!$A$1:$A$1001,customers!$C$1:$C$1001,,0))</f>
        <v>gpetracci8@livejournal.com</v>
      </c>
      <c r="H10" s="2" t="str">
        <f>_xlfn.XLOOKUP(C10,customers!$A$1:$A$1001,customers!$G$1:$G$1001,,0)</f>
        <v>United States</v>
      </c>
      <c r="I10" t="str">
        <f>INDEX(products!$B$1:$B$49,MATCH($D10,products!$A$1:$A$49,0))</f>
        <v>Rob</v>
      </c>
      <c r="J10" t="str">
        <f>INDEX(products!$C$1:$C$49,MATCH($D10,products!$A$1:$A$49,0))</f>
        <v>M</v>
      </c>
      <c r="K10" s="4">
        <f>INDEX(products!$D$1:$D$49,MATCH($D10,products!$A$1:$A$49,0))</f>
        <v>0.5</v>
      </c>
      <c r="L10" s="5">
        <f>INDEX(products!$E$1:$E$49,MATCH($D10,products!$A$1:$A$49,0))</f>
        <v>5.97</v>
      </c>
      <c r="M10" s="5">
        <f t="shared" si="0"/>
        <v>17.91</v>
      </c>
      <c r="N10" t="str" cm="1">
        <f t="array" ref="N10">_xlfn.IFS(I10="Rob","Robusta",I10="Exc","Excelsa",I10="Ara","Arabica",I10="Lib","Liberica")</f>
        <v>Robusta</v>
      </c>
      <c r="O10" t="str" cm="1">
        <f t="array" ref="O10">_xlfn.SWITCH($J10,"M","Medium","L","Light","D","Dark")</f>
        <v>Medium</v>
      </c>
      <c r="P10" t="str">
        <f>_xlfn.XLOOKUP(Table1[[#This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IF(_xlfn.XLOOKUP(C11,customers!$A$1:$A$1001,customers!$C$1:$C$1001,,0)=0,"Not _Provided",_xlfn.XLOOKUP(C11,customers!$A$1:$A$1001,customers!$C$1:$C$1001,,0))</f>
        <v>rraven9@ed.gov</v>
      </c>
      <c r="H11" s="2" t="str">
        <f>_xlfn.XLOOKUP(C11,customers!$A$1:$A$1001,customers!$G$1:$G$1001,,0)</f>
        <v>United States</v>
      </c>
      <c r="I11" t="str">
        <f>INDEX(products!$B$1:$B$49,MATCH($D11,products!$A$1:$A$49,0))</f>
        <v>Rob</v>
      </c>
      <c r="J11" t="str">
        <f>INDEX(products!$C$1:$C$49,MATCH($D11,products!$A$1:$A$49,0))</f>
        <v>M</v>
      </c>
      <c r="K11" s="4">
        <f>INDEX(products!$D$1:$D$49,MATCH($D11,products!$A$1:$A$49,0))</f>
        <v>0.5</v>
      </c>
      <c r="L11" s="5">
        <f>INDEX(products!$E$1:$E$49,MATCH($D11,products!$A$1:$A$49,0))</f>
        <v>5.97</v>
      </c>
      <c r="M11" s="5">
        <f t="shared" si="0"/>
        <v>5.97</v>
      </c>
      <c r="N11" t="str" cm="1">
        <f t="array" ref="N11">_xlfn.IFS(I11="Rob","Robusta",I11="Exc","Excelsa",I11="Ara","Arabica",I11="Lib","Liberica")</f>
        <v>Robusta</v>
      </c>
      <c r="O11" t="str" cm="1">
        <f t="array" ref="O11">_xlfn.SWITCH($J11,"M","Medium","L","Light","D","Dark")</f>
        <v>Medium</v>
      </c>
      <c r="P11" t="str">
        <f>_xlfn.XLOOKUP(Table1[[#This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IF(_xlfn.XLOOKUP(C12,customers!$A$1:$A$1001,customers!$C$1:$C$1001,,0)=0,"Not _Provided",_xlfn.XLOOKUP(C12,customers!$A$1:$A$1001,customers!$C$1:$C$1001,,0))</f>
        <v>fferbera@businesswire.com</v>
      </c>
      <c r="H12" s="2" t="str">
        <f>_xlfn.XLOOKUP(C12,customers!$A$1:$A$1001,customers!$G$1:$G$1001,,0)</f>
        <v>United States</v>
      </c>
      <c r="I12" t="str">
        <f>INDEX(products!$B$1:$B$49,MATCH($D12,products!$A$1:$A$49,0))</f>
        <v>Ara</v>
      </c>
      <c r="J12" t="str">
        <f>INDEX(products!$C$1:$C$49,MATCH($D12,products!$A$1:$A$49,0))</f>
        <v>D</v>
      </c>
      <c r="K12" s="4">
        <f>INDEX(products!$D$1:$D$49,MATCH($D12,products!$A$1:$A$49,0))</f>
        <v>1</v>
      </c>
      <c r="L12" s="5">
        <f>INDEX(products!$E$1:$E$49,MATCH($D12,products!$A$1:$A$49,0))</f>
        <v>9.9499999999999993</v>
      </c>
      <c r="M12" s="5">
        <f t="shared" si="0"/>
        <v>39.799999999999997</v>
      </c>
      <c r="N12" t="str" cm="1">
        <f t="array" ref="N12">_xlfn.IFS(I12="Rob","Robusta",I12="Exc","Excelsa",I12="Ara","Arabica",I12="Lib","Liberica")</f>
        <v>Arabica</v>
      </c>
      <c r="O12" t="str" cm="1">
        <f t="array" ref="O12">_xlfn.SWITCH($J12,"M","Medium","L","Light","D","Dark")</f>
        <v>Dark</v>
      </c>
      <c r="P12" t="str">
        <f>_xlfn.XLOOKUP(Table1[[#This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IF(_xlfn.XLOOKUP(C13,customers!$A$1:$A$1001,customers!$C$1:$C$1001,,0)=0,"Not _Provided",_xlfn.XLOOKUP(C13,customers!$A$1:$A$1001,customers!$C$1:$C$1001,,0))</f>
        <v>dphizackerlyb@utexas.edu</v>
      </c>
      <c r="H13" s="2" t="str">
        <f>_xlfn.XLOOKUP(C13,customers!$A$1:$A$1001,customers!$G$1:$G$1001,,0)</f>
        <v>United States</v>
      </c>
      <c r="I13" t="str">
        <f>INDEX(products!$B$1:$B$49,MATCH($D13,products!$A$1:$A$49,0))</f>
        <v>Exc</v>
      </c>
      <c r="J13" t="str">
        <f>INDEX(products!$C$1:$C$49,MATCH($D13,products!$A$1:$A$49,0))</f>
        <v>L</v>
      </c>
      <c r="K13" s="4">
        <f>INDEX(products!$D$1:$D$49,MATCH($D13,products!$A$1:$A$49,0))</f>
        <v>2.5</v>
      </c>
      <c r="L13" s="5">
        <f>INDEX(products!$E$1:$E$49,MATCH($D13,products!$A$1:$A$49,0))</f>
        <v>34.154999999999994</v>
      </c>
      <c r="M13" s="5">
        <f t="shared" si="0"/>
        <v>170.77499999999998</v>
      </c>
      <c r="N13" t="str" cm="1">
        <f t="array" ref="N13">_xlfn.IFS(I13="Rob","Robusta",I13="Exc","Excelsa",I13="Ara","Arabica",I13="Lib","Liberica")</f>
        <v>Excelsa</v>
      </c>
      <c r="O13" t="str" cm="1">
        <f t="array" ref="O13">_xlfn.SWITCH($J13,"M","Medium","L","Light","D","Dark")</f>
        <v>Light</v>
      </c>
      <c r="P13" t="str">
        <f>_xlfn.XLOOKUP(Table1[[#This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IF(_xlfn.XLOOKUP(C14,customers!$A$1:$A$1001,customers!$C$1:$C$1001,,0)=0,"Not _Provided",_xlfn.XLOOKUP(C14,customers!$A$1:$A$1001,customers!$C$1:$C$1001,,0))</f>
        <v>rscholarc@nyu.edu</v>
      </c>
      <c r="H14" s="2" t="str">
        <f>_xlfn.XLOOKUP(C14,customers!$A$1:$A$1001,customers!$G$1:$G$1001,,0)</f>
        <v>United States</v>
      </c>
      <c r="I14" t="str">
        <f>INDEX(products!$B$1:$B$49,MATCH($D14,products!$A$1:$A$49,0))</f>
        <v>Rob</v>
      </c>
      <c r="J14" t="str">
        <f>INDEX(products!$C$1:$C$49,MATCH($D14,products!$A$1:$A$49,0))</f>
        <v>M</v>
      </c>
      <c r="K14" s="4">
        <f>INDEX(products!$D$1:$D$49,MATCH($D14,products!$A$1:$A$49,0))</f>
        <v>1</v>
      </c>
      <c r="L14" s="5">
        <f>INDEX(products!$E$1:$E$49,MATCH($D14,products!$A$1:$A$49,0))</f>
        <v>9.9499999999999993</v>
      </c>
      <c r="M14" s="5">
        <f t="shared" si="0"/>
        <v>49.75</v>
      </c>
      <c r="N14" t="str" cm="1">
        <f t="array" ref="N14">_xlfn.IFS(I14="Rob","Robusta",I14="Exc","Excelsa",I14="Ara","Arabica",I14="Lib","Liberica")</f>
        <v>Robusta</v>
      </c>
      <c r="O14" t="str" cm="1">
        <f t="array" ref="O14">_xlfn.SWITCH($J14,"M","Medium","L","Light","D","Dark")</f>
        <v>Medium</v>
      </c>
      <c r="P14" t="str">
        <f>_xlfn.XLOOKUP(Table1[[#This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IF(_xlfn.XLOOKUP(C15,customers!$A$1:$A$1001,customers!$C$1:$C$1001,,0)=0,"Not _Provided",_xlfn.XLOOKUP(C15,customers!$A$1:$A$1001,customers!$C$1:$C$1001,,0))</f>
        <v>tvanyutind@wix.com</v>
      </c>
      <c r="H15" s="2" t="str">
        <f>_xlfn.XLOOKUP(C15,customers!$A$1:$A$1001,customers!$G$1:$G$1001,,0)</f>
        <v>United States</v>
      </c>
      <c r="I15" t="str">
        <f>INDEX(products!$B$1:$B$49,MATCH($D15,products!$A$1:$A$49,0))</f>
        <v>Rob</v>
      </c>
      <c r="J15" t="str">
        <f>INDEX(products!$C$1:$C$49,MATCH($D15,products!$A$1:$A$49,0))</f>
        <v>D</v>
      </c>
      <c r="K15" s="4">
        <f>INDEX(products!$D$1:$D$49,MATCH($D15,products!$A$1:$A$49,0))</f>
        <v>2.5</v>
      </c>
      <c r="L15" s="5">
        <f>INDEX(products!$E$1:$E$49,MATCH($D15,products!$A$1:$A$49,0))</f>
        <v>20.584999999999997</v>
      </c>
      <c r="M15" s="5">
        <f t="shared" si="0"/>
        <v>41.169999999999995</v>
      </c>
      <c r="N15" t="str" cm="1">
        <f t="array" ref="N15">_xlfn.IFS(I15="Rob","Robusta",I15="Exc","Excelsa",I15="Ara","Arabica",I15="Lib","Liberica")</f>
        <v>Robusta</v>
      </c>
      <c r="O15" t="str" cm="1">
        <f t="array" ref="O15">_xlfn.SWITCH($J15,"M","Medium","L","Light","D","Dark")</f>
        <v>Dark</v>
      </c>
      <c r="P15" t="str">
        <f>_xlfn.XLOOKUP(Table1[[#This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IF(_xlfn.XLOOKUP(C16,customers!$A$1:$A$1001,customers!$C$1:$C$1001,,0)=0,"Not _Provided",_xlfn.XLOOKUP(C16,customers!$A$1:$A$1001,customers!$C$1:$C$1001,,0))</f>
        <v>ptrobee@wunderground.com</v>
      </c>
      <c r="H16" s="2" t="str">
        <f>_xlfn.XLOOKUP(C16,customers!$A$1:$A$1001,customers!$G$1:$G$1001,,0)</f>
        <v>United States</v>
      </c>
      <c r="I16" t="str">
        <f>INDEX(products!$B$1:$B$49,MATCH($D16,products!$A$1:$A$49,0))</f>
        <v>Lib</v>
      </c>
      <c r="J16" t="str">
        <f>INDEX(products!$C$1:$C$49,MATCH($D16,products!$A$1:$A$49,0))</f>
        <v>D</v>
      </c>
      <c r="K16" s="4">
        <f>INDEX(products!$D$1:$D$49,MATCH($D16,products!$A$1:$A$49,0))</f>
        <v>0.2</v>
      </c>
      <c r="L16" s="5">
        <f>INDEX(products!$E$1:$E$49,MATCH($D16,products!$A$1:$A$49,0))</f>
        <v>3.8849999999999998</v>
      </c>
      <c r="M16" s="5">
        <f t="shared" si="0"/>
        <v>11.654999999999999</v>
      </c>
      <c r="N16" t="str" cm="1">
        <f t="array" ref="N16">_xlfn.IFS(I16="Rob","Robusta",I16="Exc","Excelsa",I16="Ara","Arabica",I16="Lib","Liberica")</f>
        <v>Liberica</v>
      </c>
      <c r="O16" t="str" cm="1">
        <f t="array" ref="O16">_xlfn.SWITCH($J16,"M","Medium","L","Light","D","Dark")</f>
        <v>Dark</v>
      </c>
      <c r="P16" t="str">
        <f>_xlfn.XLOOKUP(Table1[[#This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IF(_xlfn.XLOOKUP(C17,customers!$A$1:$A$1001,customers!$C$1:$C$1001,,0)=0,"Not _Provided",_xlfn.XLOOKUP(C17,customers!$A$1:$A$1001,customers!$C$1:$C$1001,,0))</f>
        <v>loscroftf@ebay.co.uk</v>
      </c>
      <c r="H17" s="2" t="str">
        <f>_xlfn.XLOOKUP(C17,customers!$A$1:$A$1001,customers!$G$1:$G$1001,,0)</f>
        <v>United States</v>
      </c>
      <c r="I17" t="str">
        <f>INDEX(products!$B$1:$B$49,MATCH($D17,products!$A$1:$A$49,0))</f>
        <v>Rob</v>
      </c>
      <c r="J17" t="str">
        <f>INDEX(products!$C$1:$C$49,MATCH($D17,products!$A$1:$A$49,0))</f>
        <v>M</v>
      </c>
      <c r="K17" s="4">
        <f>INDEX(products!$D$1:$D$49,MATCH($D17,products!$A$1:$A$49,0))</f>
        <v>2.5</v>
      </c>
      <c r="L17" s="5">
        <f>INDEX(products!$E$1:$E$49,MATCH($D17,products!$A$1:$A$49,0))</f>
        <v>22.884999999999998</v>
      </c>
      <c r="M17" s="5">
        <f t="shared" si="0"/>
        <v>114.42499999999998</v>
      </c>
      <c r="N17" t="str" cm="1">
        <f t="array" ref="N17">_xlfn.IFS(I17="Rob","Robusta",I17="Exc","Excelsa",I17="Ara","Arabica",I17="Lib","Liberica")</f>
        <v>Robusta</v>
      </c>
      <c r="O17" t="str" cm="1">
        <f t="array" ref="O17">_xlfn.SWITCH($J17,"M","Medium","L","Light","D","Dark")</f>
        <v>Medium</v>
      </c>
      <c r="P17" t="str">
        <f>_xlfn.XLOOKUP(Table1[[#This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IF(_xlfn.XLOOKUP(C18,customers!$A$1:$A$1001,customers!$C$1:$C$1001,,0)=0,"Not _Provided",_xlfn.XLOOKUP(C18,customers!$A$1:$A$1001,customers!$C$1:$C$1001,,0))</f>
        <v>malabasterg@hexun.com</v>
      </c>
      <c r="H18" s="2" t="str">
        <f>_xlfn.XLOOKUP(C18,customers!$A$1:$A$1001,customers!$G$1:$G$1001,,0)</f>
        <v>United States</v>
      </c>
      <c r="I18" t="str">
        <f>INDEX(products!$B$1:$B$49,MATCH($D18,products!$A$1:$A$49,0))</f>
        <v>Ara</v>
      </c>
      <c r="J18" t="str">
        <f>INDEX(products!$C$1:$C$49,MATCH($D18,products!$A$1:$A$49,0))</f>
        <v>M</v>
      </c>
      <c r="K18" s="4">
        <f>INDEX(products!$D$1:$D$49,MATCH($D18,products!$A$1:$A$49,0))</f>
        <v>0.2</v>
      </c>
      <c r="L18" s="5">
        <f>INDEX(products!$E$1:$E$49,MATCH($D18,products!$A$1:$A$49,0))</f>
        <v>3.375</v>
      </c>
      <c r="M18" s="5">
        <f t="shared" si="0"/>
        <v>20.25</v>
      </c>
      <c r="N18" t="str" cm="1">
        <f t="array" ref="N18">_xlfn.IFS(I18="Rob","Robusta",I18="Exc","Excelsa",I18="Ara","Arabica",I18="Lib","Liberica")</f>
        <v>Arabica</v>
      </c>
      <c r="O18" t="str" cm="1">
        <f t="array" ref="O18">_xlfn.SWITCH($J18,"M","Medium","L","Light","D","Dark")</f>
        <v>Medium</v>
      </c>
      <c r="P18" t="str">
        <f>_xlfn.XLOOKUP(Table1[[#This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IF(_xlfn.XLOOKUP(C19,customers!$A$1:$A$1001,customers!$C$1:$C$1001,,0)=0,"Not _Provided",_xlfn.XLOOKUP(C19,customers!$A$1:$A$1001,customers!$C$1:$C$1001,,0))</f>
        <v>rbroxuph@jimdo.com</v>
      </c>
      <c r="H19" s="2" t="str">
        <f>_xlfn.XLOOKUP(C19,customers!$A$1:$A$1001,customers!$G$1:$G$1001,,0)</f>
        <v>United States</v>
      </c>
      <c r="I19" t="str">
        <f>INDEX(products!$B$1:$B$49,MATCH($D19,products!$A$1:$A$49,0))</f>
        <v>Ara</v>
      </c>
      <c r="J19" t="str">
        <f>INDEX(products!$C$1:$C$49,MATCH($D19,products!$A$1:$A$49,0))</f>
        <v>L</v>
      </c>
      <c r="K19" s="4">
        <f>INDEX(products!$D$1:$D$49,MATCH($D19,products!$A$1:$A$49,0))</f>
        <v>1</v>
      </c>
      <c r="L19" s="5">
        <f>INDEX(products!$E$1:$E$49,MATCH($D19,products!$A$1:$A$49,0))</f>
        <v>12.95</v>
      </c>
      <c r="M19" s="5">
        <f t="shared" si="0"/>
        <v>77.699999999999989</v>
      </c>
      <c r="N19" t="str" cm="1">
        <f t="array" ref="N19">_xlfn.IFS(I19="Rob","Robusta",I19="Exc","Excelsa",I19="Ara","Arabica",I19="Lib","Liberica")</f>
        <v>Arabica</v>
      </c>
      <c r="O19" t="str" cm="1">
        <f t="array" ref="O19">_xlfn.SWITCH($J19,"M","Medium","L","Light","D","Dark")</f>
        <v>Light</v>
      </c>
      <c r="P19" t="str">
        <f>_xlfn.XLOOKUP(Table1[[#This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IF(_xlfn.XLOOKUP(C20,customers!$A$1:$A$1001,customers!$C$1:$C$1001,,0)=0,"Not _Provided",_xlfn.XLOOKUP(C20,customers!$A$1:$A$1001,customers!$C$1:$C$1001,,0))</f>
        <v>predfordi@ow.ly</v>
      </c>
      <c r="H20" s="2" t="str">
        <f>_xlfn.XLOOKUP(C20,customers!$A$1:$A$1001,customers!$G$1:$G$1001,,0)</f>
        <v>Ireland</v>
      </c>
      <c r="I20" t="str">
        <f>INDEX(products!$B$1:$B$49,MATCH($D20,products!$A$1:$A$49,0))</f>
        <v>Rob</v>
      </c>
      <c r="J20" t="str">
        <f>INDEX(products!$C$1:$C$49,MATCH($D20,products!$A$1:$A$49,0))</f>
        <v>D</v>
      </c>
      <c r="K20" s="4">
        <f>INDEX(products!$D$1:$D$49,MATCH($D20,products!$A$1:$A$49,0))</f>
        <v>2.5</v>
      </c>
      <c r="L20" s="5">
        <f>INDEX(products!$E$1:$E$49,MATCH($D20,products!$A$1:$A$49,0))</f>
        <v>20.584999999999997</v>
      </c>
      <c r="M20" s="5">
        <f t="shared" si="0"/>
        <v>82.339999999999989</v>
      </c>
      <c r="N20" t="str" cm="1">
        <f t="array" ref="N20">_xlfn.IFS(I20="Rob","Robusta",I20="Exc","Excelsa",I20="Ara","Arabica",I20="Lib","Liberica")</f>
        <v>Robusta</v>
      </c>
      <c r="O20" t="str" cm="1">
        <f t="array" ref="O20">_xlfn.SWITCH($J20,"M","Medium","L","Light","D","Dark")</f>
        <v>Dark</v>
      </c>
      <c r="P20" t="str">
        <f>_xlfn.XLOOKUP(Table1[[#This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IF(_xlfn.XLOOKUP(C21,customers!$A$1:$A$1001,customers!$C$1:$C$1001,,0)=0,"Not _Provided",_xlfn.XLOOKUP(C21,customers!$A$1:$A$1001,customers!$C$1:$C$1001,,0))</f>
        <v>acorradinoj@harvard.edu</v>
      </c>
      <c r="H21" s="2" t="str">
        <f>_xlfn.XLOOKUP(C21,customers!$A$1:$A$1001,customers!$G$1:$G$1001,,0)</f>
        <v>United States</v>
      </c>
      <c r="I21" t="str">
        <f>INDEX(products!$B$1:$B$49,MATCH($D21,products!$A$1:$A$49,0))</f>
        <v>Ara</v>
      </c>
      <c r="J21" t="str">
        <f>INDEX(products!$C$1:$C$49,MATCH($D21,products!$A$1:$A$49,0))</f>
        <v>M</v>
      </c>
      <c r="K21" s="4">
        <f>INDEX(products!$D$1:$D$49,MATCH($D21,products!$A$1:$A$49,0))</f>
        <v>0.2</v>
      </c>
      <c r="L21" s="5">
        <f>INDEX(products!$E$1:$E$49,MATCH($D21,products!$A$1:$A$49,0))</f>
        <v>3.375</v>
      </c>
      <c r="M21" s="5">
        <f t="shared" si="0"/>
        <v>16.875</v>
      </c>
      <c r="N21" t="str" cm="1">
        <f t="array" ref="N21">_xlfn.IFS(I21="Rob","Robusta",I21="Exc","Excelsa",I21="Ara","Arabica",I21="Lib","Liberica")</f>
        <v>Arabica</v>
      </c>
      <c r="O21" t="str" cm="1">
        <f t="array" ref="O21">_xlfn.SWITCH($J21,"M","Medium","L","Light","D","Dark")</f>
        <v>Medium</v>
      </c>
      <c r="P21" t="str">
        <f>_xlfn.XLOOKUP(Table1[[#This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IF(_xlfn.XLOOKUP(C22,customers!$A$1:$A$1001,customers!$C$1:$C$1001,,0)=0,"Not _Provided",_xlfn.XLOOKUP(C22,customers!$A$1:$A$1001,customers!$C$1:$C$1001,,0))</f>
        <v>acorradinoj@harvard.edu</v>
      </c>
      <c r="H22" s="2" t="str">
        <f>_xlfn.XLOOKUP(C22,customers!$A$1:$A$1001,customers!$G$1:$G$1001,,0)</f>
        <v>United States</v>
      </c>
      <c r="I22" t="str">
        <f>INDEX(products!$B$1:$B$49,MATCH($D22,products!$A$1:$A$49,0))</f>
        <v>Exc</v>
      </c>
      <c r="J22" t="str">
        <f>INDEX(products!$C$1:$C$49,MATCH($D22,products!$A$1:$A$49,0))</f>
        <v>D</v>
      </c>
      <c r="K22" s="4">
        <f>INDEX(products!$D$1:$D$49,MATCH($D22,products!$A$1:$A$49,0))</f>
        <v>0.2</v>
      </c>
      <c r="L22" s="5">
        <f>INDEX(products!$E$1:$E$49,MATCH($D22,products!$A$1:$A$49,0))</f>
        <v>3.645</v>
      </c>
      <c r="M22" s="5">
        <f t="shared" si="0"/>
        <v>14.58</v>
      </c>
      <c r="N22" t="str" cm="1">
        <f t="array" ref="N22">_xlfn.IFS(I22="Rob","Robusta",I22="Exc","Excelsa",I22="Ara","Arabica",I22="Lib","Liberica")</f>
        <v>Excelsa</v>
      </c>
      <c r="O22" t="str" cm="1">
        <f t="array" ref="O22">_xlfn.SWITCH($J22,"M","Medium","L","Light","D","Dark")</f>
        <v>Dark</v>
      </c>
      <c r="P22" t="str">
        <f>_xlfn.XLOOKUP(Table1[[#This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IF(_xlfn.XLOOKUP(C23,customers!$A$1:$A$1001,customers!$C$1:$C$1001,,0)=0,"Not _Provided",_xlfn.XLOOKUP(C23,customers!$A$1:$A$1001,customers!$C$1:$C$1001,,0))</f>
        <v>adavidowskyl@netvibes.com</v>
      </c>
      <c r="H23" s="2" t="str">
        <f>_xlfn.XLOOKUP(C23,customers!$A$1:$A$1001,customers!$G$1:$G$1001,,0)</f>
        <v>United States</v>
      </c>
      <c r="I23" t="str">
        <f>INDEX(products!$B$1:$B$49,MATCH($D23,products!$A$1:$A$49,0))</f>
        <v>Ara</v>
      </c>
      <c r="J23" t="str">
        <f>INDEX(products!$C$1:$C$49,MATCH($D23,products!$A$1:$A$49,0))</f>
        <v>D</v>
      </c>
      <c r="K23" s="4">
        <f>INDEX(products!$D$1:$D$49,MATCH($D23,products!$A$1:$A$49,0))</f>
        <v>0.2</v>
      </c>
      <c r="L23" s="5">
        <f>INDEX(products!$E$1:$E$49,MATCH($D23,products!$A$1:$A$49,0))</f>
        <v>2.9849999999999999</v>
      </c>
      <c r="M23" s="5">
        <f t="shared" si="0"/>
        <v>17.91</v>
      </c>
      <c r="N23" t="str" cm="1">
        <f t="array" ref="N23">_xlfn.IFS(I23="Rob","Robusta",I23="Exc","Excelsa",I23="Ara","Arabica",I23="Lib","Liberica")</f>
        <v>Arabica</v>
      </c>
      <c r="O23" t="str" cm="1">
        <f t="array" ref="O23">_xlfn.SWITCH($J23,"M","Medium","L","Light","D","Dark")</f>
        <v>Dark</v>
      </c>
      <c r="P23" t="str">
        <f>_xlfn.XLOOKUP(Table1[[#This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IF(_xlfn.XLOOKUP(C24,customers!$A$1:$A$1001,customers!$C$1:$C$1001,,0)=0,"Not _Provided",_xlfn.XLOOKUP(C24,customers!$A$1:$A$1001,customers!$C$1:$C$1001,,0))</f>
        <v>aantukm@kickstarter.com</v>
      </c>
      <c r="H24" s="2" t="str">
        <f>_xlfn.XLOOKUP(C24,customers!$A$1:$A$1001,customers!$G$1:$G$1001,,0)</f>
        <v>United States</v>
      </c>
      <c r="I24" t="str">
        <f>INDEX(products!$B$1:$B$49,MATCH($D24,products!$A$1:$A$49,0))</f>
        <v>Rob</v>
      </c>
      <c r="J24" t="str">
        <f>INDEX(products!$C$1:$C$49,MATCH($D24,products!$A$1:$A$49,0))</f>
        <v>M</v>
      </c>
      <c r="K24" s="4">
        <f>INDEX(products!$D$1:$D$49,MATCH($D24,products!$A$1:$A$49,0))</f>
        <v>2.5</v>
      </c>
      <c r="L24" s="5">
        <f>INDEX(products!$E$1:$E$49,MATCH($D24,products!$A$1:$A$49,0))</f>
        <v>22.884999999999998</v>
      </c>
      <c r="M24" s="5">
        <f t="shared" si="0"/>
        <v>91.539999999999992</v>
      </c>
      <c r="N24" t="str" cm="1">
        <f t="array" ref="N24">_xlfn.IFS(I24="Rob","Robusta",I24="Exc","Excelsa",I24="Ara","Arabica",I24="Lib","Liberica")</f>
        <v>Robusta</v>
      </c>
      <c r="O24" t="str" cm="1">
        <f t="array" ref="O24">_xlfn.SWITCH($J24,"M","Medium","L","Light","D","Dark")</f>
        <v>Medium</v>
      </c>
      <c r="P24" t="str">
        <f>_xlfn.XLOOKUP(Table1[[#This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IF(_xlfn.XLOOKUP(C25,customers!$A$1:$A$1001,customers!$C$1:$C$1001,,0)=0,"Not _Provided",_xlfn.XLOOKUP(C25,customers!$A$1:$A$1001,customers!$C$1:$C$1001,,0))</f>
        <v>ikleinertn@timesonline.co.uk</v>
      </c>
      <c r="H25" s="2" t="str">
        <f>_xlfn.XLOOKUP(C25,customers!$A$1:$A$1001,customers!$G$1:$G$1001,,0)</f>
        <v>United States</v>
      </c>
      <c r="I25" t="str">
        <f>INDEX(products!$B$1:$B$49,MATCH($D25,products!$A$1:$A$49,0))</f>
        <v>Ara</v>
      </c>
      <c r="J25" t="str">
        <f>INDEX(products!$C$1:$C$49,MATCH($D25,products!$A$1:$A$49,0))</f>
        <v>D</v>
      </c>
      <c r="K25" s="4">
        <f>INDEX(products!$D$1:$D$49,MATCH($D25,products!$A$1:$A$49,0))</f>
        <v>0.2</v>
      </c>
      <c r="L25" s="5">
        <f>INDEX(products!$E$1:$E$49,MATCH($D25,products!$A$1:$A$49,0))</f>
        <v>2.9849999999999999</v>
      </c>
      <c r="M25" s="5">
        <f t="shared" si="0"/>
        <v>11.94</v>
      </c>
      <c r="N25" t="str" cm="1">
        <f t="array" ref="N25">_xlfn.IFS(I25="Rob","Robusta",I25="Exc","Excelsa",I25="Ara","Arabica",I25="Lib","Liberica")</f>
        <v>Arabica</v>
      </c>
      <c r="O25" t="str" cm="1">
        <f t="array" ref="O25">_xlfn.SWITCH($J25,"M","Medium","L","Light","D","Dark")</f>
        <v>Dark</v>
      </c>
      <c r="P25" t="str">
        <f>_xlfn.XLOOKUP(Table1[[#This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IF(_xlfn.XLOOKUP(C26,customers!$A$1:$A$1001,customers!$C$1:$C$1001,,0)=0,"Not _Provided",_xlfn.XLOOKUP(C26,customers!$A$1:$A$1001,customers!$C$1:$C$1001,,0))</f>
        <v>cblofeldo@amazon.co.uk</v>
      </c>
      <c r="H26" s="2" t="str">
        <f>_xlfn.XLOOKUP(C26,customers!$A$1:$A$1001,customers!$G$1:$G$1001,,0)</f>
        <v>United States</v>
      </c>
      <c r="I26" t="str">
        <f>INDEX(products!$B$1:$B$49,MATCH($D26,products!$A$1:$A$49,0))</f>
        <v>Ara</v>
      </c>
      <c r="J26" t="str">
        <f>INDEX(products!$C$1:$C$49,MATCH($D26,products!$A$1:$A$49,0))</f>
        <v>M</v>
      </c>
      <c r="K26" s="4">
        <f>INDEX(products!$D$1:$D$49,MATCH($D26,products!$A$1:$A$49,0))</f>
        <v>1</v>
      </c>
      <c r="L26" s="5">
        <f>INDEX(products!$E$1:$E$49,MATCH($D26,products!$A$1:$A$49,0))</f>
        <v>11.25</v>
      </c>
      <c r="M26" s="5">
        <f t="shared" si="0"/>
        <v>11.25</v>
      </c>
      <c r="N26" t="str" cm="1">
        <f t="array" ref="N26">_xlfn.IFS(I26="Rob","Robusta",I26="Exc","Excelsa",I26="Ara","Arabica",I26="Lib","Liberica")</f>
        <v>Arabica</v>
      </c>
      <c r="O26" t="str" cm="1">
        <f t="array" ref="O26">_xlfn.SWITCH($J26,"M","Medium","L","Light","D","Dark")</f>
        <v>Medium</v>
      </c>
      <c r="P26" t="str">
        <f>_xlfn.XLOOKUP(Table1[[#This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IF(_xlfn.XLOOKUP(C27,customers!$A$1:$A$1001,customers!$C$1:$C$1001,,0)=0,"Not _Provided",_xlfn.XLOOKUP(C27,customers!$A$1:$A$1001,customers!$C$1:$C$1001,,0))</f>
        <v>Not _Provided</v>
      </c>
      <c r="H27" s="2" t="str">
        <f>_xlfn.XLOOKUP(C27,customers!$A$1:$A$1001,customers!$G$1:$G$1001,,0)</f>
        <v>United States</v>
      </c>
      <c r="I27" t="str">
        <f>INDEX(products!$B$1:$B$49,MATCH($D27,products!$A$1:$A$49,0))</f>
        <v>Exc</v>
      </c>
      <c r="J27" t="str">
        <f>INDEX(products!$C$1:$C$49,MATCH($D27,products!$A$1:$A$49,0))</f>
        <v>M</v>
      </c>
      <c r="K27" s="4">
        <f>INDEX(products!$D$1:$D$49,MATCH($D27,products!$A$1:$A$49,0))</f>
        <v>0.2</v>
      </c>
      <c r="L27" s="5">
        <f>INDEX(products!$E$1:$E$49,MATCH($D27,products!$A$1:$A$49,0))</f>
        <v>4.125</v>
      </c>
      <c r="M27" s="5">
        <f t="shared" si="0"/>
        <v>12.375</v>
      </c>
      <c r="N27" t="str" cm="1">
        <f t="array" ref="N27">_xlfn.IFS(I27="Rob","Robusta",I27="Exc","Excelsa",I27="Ara","Arabica",I27="Lib","Liberica")</f>
        <v>Excelsa</v>
      </c>
      <c r="O27" t="str" cm="1">
        <f t="array" ref="O27">_xlfn.SWITCH($J27,"M","Medium","L","Light","D","Dark")</f>
        <v>Medium</v>
      </c>
      <c r="P27" t="str">
        <f>_xlfn.XLOOKUP(Table1[[#This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IF(_xlfn.XLOOKUP(C28,customers!$A$1:$A$1001,customers!$C$1:$C$1001,,0)=0,"Not _Provided",_xlfn.XLOOKUP(C28,customers!$A$1:$A$1001,customers!$C$1:$C$1001,,0))</f>
        <v>sshalesq@umich.edu</v>
      </c>
      <c r="H28" s="2" t="str">
        <f>_xlfn.XLOOKUP(C28,customers!$A$1:$A$1001,customers!$G$1:$G$1001,,0)</f>
        <v>United States</v>
      </c>
      <c r="I28" t="str">
        <f>INDEX(products!$B$1:$B$49,MATCH($D28,products!$A$1:$A$49,0))</f>
        <v>Ara</v>
      </c>
      <c r="J28" t="str">
        <f>INDEX(products!$C$1:$C$49,MATCH($D28,products!$A$1:$A$49,0))</f>
        <v>M</v>
      </c>
      <c r="K28" s="4">
        <f>INDEX(products!$D$1:$D$49,MATCH($D28,products!$A$1:$A$49,0))</f>
        <v>0.5</v>
      </c>
      <c r="L28" s="5">
        <f>INDEX(products!$E$1:$E$49,MATCH($D28,products!$A$1:$A$49,0))</f>
        <v>6.75</v>
      </c>
      <c r="M28" s="5">
        <f t="shared" si="0"/>
        <v>27</v>
      </c>
      <c r="N28" t="str" cm="1">
        <f t="array" ref="N28">_xlfn.IFS(I28="Rob","Robusta",I28="Exc","Excelsa",I28="Ara","Arabica",I28="Lib","Liberica")</f>
        <v>Arabica</v>
      </c>
      <c r="O28" t="str" cm="1">
        <f t="array" ref="O28">_xlfn.SWITCH($J28,"M","Medium","L","Light","D","Dark")</f>
        <v>Medium</v>
      </c>
      <c r="P28" t="str">
        <f>_xlfn.XLOOKUP(Table1[[#This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IF(_xlfn.XLOOKUP(C29,customers!$A$1:$A$1001,customers!$C$1:$C$1001,,0)=0,"Not _Provided",_xlfn.XLOOKUP(C29,customers!$A$1:$A$1001,customers!$C$1:$C$1001,,0))</f>
        <v>vdanneilr@mtv.com</v>
      </c>
      <c r="H29" s="2" t="str">
        <f>_xlfn.XLOOKUP(C29,customers!$A$1:$A$1001,customers!$G$1:$G$1001,,0)</f>
        <v>Ireland</v>
      </c>
      <c r="I29" t="str">
        <f>INDEX(products!$B$1:$B$49,MATCH($D29,products!$A$1:$A$49,0))</f>
        <v>Ara</v>
      </c>
      <c r="J29" t="str">
        <f>INDEX(products!$C$1:$C$49,MATCH($D29,products!$A$1:$A$49,0))</f>
        <v>M</v>
      </c>
      <c r="K29" s="4">
        <f>INDEX(products!$D$1:$D$49,MATCH($D29,products!$A$1:$A$49,0))</f>
        <v>0.2</v>
      </c>
      <c r="L29" s="5">
        <f>INDEX(products!$E$1:$E$49,MATCH($D29,products!$A$1:$A$49,0))</f>
        <v>3.375</v>
      </c>
      <c r="M29" s="5">
        <f t="shared" si="0"/>
        <v>16.875</v>
      </c>
      <c r="N29" t="str" cm="1">
        <f t="array" ref="N29">_xlfn.IFS(I29="Rob","Robusta",I29="Exc","Excelsa",I29="Ara","Arabica",I29="Lib","Liberica")</f>
        <v>Arabica</v>
      </c>
      <c r="O29" t="str" cm="1">
        <f t="array" ref="O29">_xlfn.SWITCH($J29,"M","Medium","L","Light","D","Dark")</f>
        <v>Medium</v>
      </c>
      <c r="P29" t="str">
        <f>_xlfn.XLOOKUP(Table1[[#This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IF(_xlfn.XLOOKUP(C30,customers!$A$1:$A$1001,customers!$C$1:$C$1001,,0)=0,"Not _Provided",_xlfn.XLOOKUP(C30,customers!$A$1:$A$1001,customers!$C$1:$C$1001,,0))</f>
        <v>tnewburys@usda.gov</v>
      </c>
      <c r="H30" s="2" t="str">
        <f>_xlfn.XLOOKUP(C30,customers!$A$1:$A$1001,customers!$G$1:$G$1001,,0)</f>
        <v>Ireland</v>
      </c>
      <c r="I30" t="str">
        <f>INDEX(products!$B$1:$B$49,MATCH($D30,products!$A$1:$A$49,0))</f>
        <v>Ara</v>
      </c>
      <c r="J30" t="str">
        <f>INDEX(products!$C$1:$C$49,MATCH($D30,products!$A$1:$A$49,0))</f>
        <v>D</v>
      </c>
      <c r="K30" s="4">
        <f>INDEX(products!$D$1:$D$49,MATCH($D30,products!$A$1:$A$49,0))</f>
        <v>0.5</v>
      </c>
      <c r="L30" s="5">
        <f>INDEX(products!$E$1:$E$49,MATCH($D30,products!$A$1:$A$49,0))</f>
        <v>5.97</v>
      </c>
      <c r="M30" s="5">
        <f t="shared" si="0"/>
        <v>17.91</v>
      </c>
      <c r="N30" t="str" cm="1">
        <f t="array" ref="N30">_xlfn.IFS(I30="Rob","Robusta",I30="Exc","Excelsa",I30="Ara","Arabica",I30="Lib","Liberica")</f>
        <v>Arabica</v>
      </c>
      <c r="O30" t="str" cm="1">
        <f t="array" ref="O30">_xlfn.SWITCH($J30,"M","Medium","L","Light","D","Dark")</f>
        <v>Dark</v>
      </c>
      <c r="P30" t="str">
        <f>_xlfn.XLOOKUP(Table1[[#This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IF(_xlfn.XLOOKUP(C31,customers!$A$1:$A$1001,customers!$C$1:$C$1001,,0)=0,"Not _Provided",_xlfn.XLOOKUP(C31,customers!$A$1:$A$1001,customers!$C$1:$C$1001,,0))</f>
        <v>mcalcuttt@baidu.com</v>
      </c>
      <c r="H31" s="2" t="str">
        <f>_xlfn.XLOOKUP(C31,customers!$A$1:$A$1001,customers!$G$1:$G$1001,,0)</f>
        <v>Ireland</v>
      </c>
      <c r="I31" t="str">
        <f>INDEX(products!$B$1:$B$49,MATCH($D31,products!$A$1:$A$49,0))</f>
        <v>Ara</v>
      </c>
      <c r="J31" t="str">
        <f>INDEX(products!$C$1:$C$49,MATCH($D31,products!$A$1:$A$49,0))</f>
        <v>D</v>
      </c>
      <c r="K31" s="4">
        <f>INDEX(products!$D$1:$D$49,MATCH($D31,products!$A$1:$A$49,0))</f>
        <v>1</v>
      </c>
      <c r="L31" s="5">
        <f>INDEX(products!$E$1:$E$49,MATCH($D31,products!$A$1:$A$49,0))</f>
        <v>9.9499999999999993</v>
      </c>
      <c r="M31" s="5">
        <f t="shared" si="0"/>
        <v>39.799999999999997</v>
      </c>
      <c r="N31" t="str" cm="1">
        <f t="array" ref="N31">_xlfn.IFS(I31="Rob","Robusta",I31="Exc","Excelsa",I31="Ara","Arabica",I31="Lib","Liberica")</f>
        <v>Arabica</v>
      </c>
      <c r="O31" t="str" cm="1">
        <f t="array" ref="O31">_xlfn.SWITCH($J31,"M","Medium","L","Light","D","Dark")</f>
        <v>Dark</v>
      </c>
      <c r="P31" t="str">
        <f>_xlfn.XLOOKUP(Table1[[#This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IF(_xlfn.XLOOKUP(C32,customers!$A$1:$A$1001,customers!$C$1:$C$1001,,0)=0,"Not _Provided",_xlfn.XLOOKUP(C32,customers!$A$1:$A$1001,customers!$C$1:$C$1001,,0))</f>
        <v>Not _Provided</v>
      </c>
      <c r="H32" s="2" t="str">
        <f>_xlfn.XLOOKUP(C32,customers!$A$1:$A$1001,customers!$G$1:$G$1001,,0)</f>
        <v>United States</v>
      </c>
      <c r="I32" t="str">
        <f>INDEX(products!$B$1:$B$49,MATCH($D32,products!$A$1:$A$49,0))</f>
        <v>Lib</v>
      </c>
      <c r="J32" t="str">
        <f>INDEX(products!$C$1:$C$49,MATCH($D32,products!$A$1:$A$49,0))</f>
        <v>M</v>
      </c>
      <c r="K32" s="4">
        <f>INDEX(products!$D$1:$D$49,MATCH($D32,products!$A$1:$A$49,0))</f>
        <v>0.2</v>
      </c>
      <c r="L32" s="5">
        <f>INDEX(products!$E$1:$E$49,MATCH($D32,products!$A$1:$A$49,0))</f>
        <v>4.3650000000000002</v>
      </c>
      <c r="M32" s="5">
        <f t="shared" si="0"/>
        <v>21.825000000000003</v>
      </c>
      <c r="N32" t="str" cm="1">
        <f t="array" ref="N32">_xlfn.IFS(I32="Rob","Robusta",I32="Exc","Excelsa",I32="Ara","Arabica",I32="Lib","Liberica")</f>
        <v>Liberica</v>
      </c>
      <c r="O32" t="str" cm="1">
        <f t="array" ref="O32">_xlfn.SWITCH($J32,"M","Medium","L","Light","D","Dark")</f>
        <v>Medium</v>
      </c>
      <c r="P32" t="str">
        <f>_xlfn.XLOOKUP(Table1[[#This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IF(_xlfn.XLOOKUP(C33,customers!$A$1:$A$1001,customers!$C$1:$C$1001,,0)=0,"Not _Provided",_xlfn.XLOOKUP(C33,customers!$A$1:$A$1001,customers!$C$1:$C$1001,,0))</f>
        <v>Not _Provided</v>
      </c>
      <c r="H33" s="2" t="str">
        <f>_xlfn.XLOOKUP(C33,customers!$A$1:$A$1001,customers!$G$1:$G$1001,,0)</f>
        <v>United States</v>
      </c>
      <c r="I33" t="str">
        <f>INDEX(products!$B$1:$B$49,MATCH($D33,products!$A$1:$A$49,0))</f>
        <v>Ara</v>
      </c>
      <c r="J33" t="str">
        <f>INDEX(products!$C$1:$C$49,MATCH($D33,products!$A$1:$A$49,0))</f>
        <v>D</v>
      </c>
      <c r="K33" s="4">
        <f>INDEX(products!$D$1:$D$49,MATCH($D33,products!$A$1:$A$49,0))</f>
        <v>0.5</v>
      </c>
      <c r="L33" s="5">
        <f>INDEX(products!$E$1:$E$49,MATCH($D33,products!$A$1:$A$49,0))</f>
        <v>5.97</v>
      </c>
      <c r="M33" s="5">
        <f t="shared" si="0"/>
        <v>35.82</v>
      </c>
      <c r="N33" t="str" cm="1">
        <f t="array" ref="N33">_xlfn.IFS(I33="Rob","Robusta",I33="Exc","Excelsa",I33="Ara","Arabica",I33="Lib","Liberica")</f>
        <v>Arabica</v>
      </c>
      <c r="O33" t="str" cm="1">
        <f t="array" ref="O33">_xlfn.SWITCH($J33,"M","Medium","L","Light","D","Dark")</f>
        <v>Dark</v>
      </c>
      <c r="P33" t="str">
        <f>_xlfn.XLOOKUP(Table1[[#This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IF(_xlfn.XLOOKUP(C34,customers!$A$1:$A$1001,customers!$C$1:$C$1001,,0)=0,"Not _Provided",_xlfn.XLOOKUP(C34,customers!$A$1:$A$1001,customers!$C$1:$C$1001,,0))</f>
        <v>Not _Provided</v>
      </c>
      <c r="H34" s="2" t="str">
        <f>_xlfn.XLOOKUP(C34,customers!$A$1:$A$1001,customers!$G$1:$G$1001,,0)</f>
        <v>United States</v>
      </c>
      <c r="I34" t="str">
        <f>INDEX(products!$B$1:$B$49,MATCH($D34,products!$A$1:$A$49,0))</f>
        <v>Lib</v>
      </c>
      <c r="J34" t="str">
        <f>INDEX(products!$C$1:$C$49,MATCH($D34,products!$A$1:$A$49,0))</f>
        <v>M</v>
      </c>
      <c r="K34" s="4">
        <f>INDEX(products!$D$1:$D$49,MATCH($D34,products!$A$1:$A$49,0))</f>
        <v>0.5</v>
      </c>
      <c r="L34" s="5">
        <f>INDEX(products!$E$1:$E$49,MATCH($D34,products!$A$1:$A$49,0))</f>
        <v>8.73</v>
      </c>
      <c r="M34" s="5">
        <f t="shared" si="0"/>
        <v>52.38</v>
      </c>
      <c r="N34" t="str" cm="1">
        <f t="array" ref="N34">_xlfn.IFS(I34="Rob","Robusta",I34="Exc","Excelsa",I34="Ara","Arabica",I34="Lib","Liberica")</f>
        <v>Liberica</v>
      </c>
      <c r="O34" t="str" cm="1">
        <f t="array" ref="O34">_xlfn.SWITCH($J34,"M","Medium","L","Light","D","Dark")</f>
        <v>Medium</v>
      </c>
      <c r="P34" t="str">
        <f>_xlfn.XLOOKUP(Table1[[#This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IF(_xlfn.XLOOKUP(C35,customers!$A$1:$A$1001,customers!$C$1:$C$1001,,0)=0,"Not _Provided",_xlfn.XLOOKUP(C35,customers!$A$1:$A$1001,customers!$C$1:$C$1001,,0))</f>
        <v>ggatheralx@123-reg.co.uk</v>
      </c>
      <c r="H35" s="2" t="str">
        <f>_xlfn.XLOOKUP(C35,customers!$A$1:$A$1001,customers!$G$1:$G$1001,,0)</f>
        <v>United States</v>
      </c>
      <c r="I35" t="str">
        <f>INDEX(products!$B$1:$B$49,MATCH($D35,products!$A$1:$A$49,0))</f>
        <v>Lib</v>
      </c>
      <c r="J35" t="str">
        <f>INDEX(products!$C$1:$C$49,MATCH($D35,products!$A$1:$A$49,0))</f>
        <v>L</v>
      </c>
      <c r="K35" s="4">
        <f>INDEX(products!$D$1:$D$49,MATCH($D35,products!$A$1:$A$49,0))</f>
        <v>0.2</v>
      </c>
      <c r="L35" s="5">
        <f>INDEX(products!$E$1:$E$49,MATCH($D35,products!$A$1:$A$49,0))</f>
        <v>4.7549999999999999</v>
      </c>
      <c r="M35" s="5">
        <f t="shared" si="0"/>
        <v>23.774999999999999</v>
      </c>
      <c r="N35" t="str" cm="1">
        <f t="array" ref="N35">_xlfn.IFS(I35="Rob","Robusta",I35="Exc","Excelsa",I35="Ara","Arabica",I35="Lib","Liberica")</f>
        <v>Liberica</v>
      </c>
      <c r="O35" t="str" cm="1">
        <f t="array" ref="O35">_xlfn.SWITCH($J35,"M","Medium","L","Light","D","Dark")</f>
        <v>Light</v>
      </c>
      <c r="P35" t="str">
        <f>_xlfn.XLOOKUP(Table1[[#This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IF(_xlfn.XLOOKUP(C36,customers!$A$1:$A$1001,customers!$C$1:$C$1001,,0)=0,"Not _Provided",_xlfn.XLOOKUP(C36,customers!$A$1:$A$1001,customers!$C$1:$C$1001,,0))</f>
        <v>uwelberryy@ebay.co.uk</v>
      </c>
      <c r="H36" s="2" t="str">
        <f>_xlfn.XLOOKUP(C36,customers!$A$1:$A$1001,customers!$G$1:$G$1001,,0)</f>
        <v>United Kingdom</v>
      </c>
      <c r="I36" t="str">
        <f>INDEX(products!$B$1:$B$49,MATCH($D36,products!$A$1:$A$49,0))</f>
        <v>Lib</v>
      </c>
      <c r="J36" t="str">
        <f>INDEX(products!$C$1:$C$49,MATCH($D36,products!$A$1:$A$49,0))</f>
        <v>L</v>
      </c>
      <c r="K36" s="4">
        <f>INDEX(products!$D$1:$D$49,MATCH($D36,products!$A$1:$A$49,0))</f>
        <v>0.5</v>
      </c>
      <c r="L36" s="5">
        <f>INDEX(products!$E$1:$E$49,MATCH($D36,products!$A$1:$A$49,0))</f>
        <v>9.51</v>
      </c>
      <c r="M36" s="5">
        <f t="shared" si="0"/>
        <v>57.06</v>
      </c>
      <c r="N36" t="str" cm="1">
        <f t="array" ref="N36">_xlfn.IFS(I36="Rob","Robusta",I36="Exc","Excelsa",I36="Ara","Arabica",I36="Lib","Liberica")</f>
        <v>Liberica</v>
      </c>
      <c r="O36" t="str" cm="1">
        <f t="array" ref="O36">_xlfn.SWITCH($J36,"M","Medium","L","Light","D","Dark")</f>
        <v>Light</v>
      </c>
      <c r="P36" t="str">
        <f>_xlfn.XLOOKUP(Table1[[#This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IF(_xlfn.XLOOKUP(C37,customers!$A$1:$A$1001,customers!$C$1:$C$1001,,0)=0,"Not _Provided",_xlfn.XLOOKUP(C37,customers!$A$1:$A$1001,customers!$C$1:$C$1001,,0))</f>
        <v>feilhartz@who.int</v>
      </c>
      <c r="H37" s="2" t="str">
        <f>_xlfn.XLOOKUP(C37,customers!$A$1:$A$1001,customers!$G$1:$G$1001,,0)</f>
        <v>United States</v>
      </c>
      <c r="I37" t="str">
        <f>INDEX(products!$B$1:$B$49,MATCH($D37,products!$A$1:$A$49,0))</f>
        <v>Ara</v>
      </c>
      <c r="J37" t="str">
        <f>INDEX(products!$C$1:$C$49,MATCH($D37,products!$A$1:$A$49,0))</f>
        <v>D</v>
      </c>
      <c r="K37" s="4">
        <f>INDEX(products!$D$1:$D$49,MATCH($D37,products!$A$1:$A$49,0))</f>
        <v>0.5</v>
      </c>
      <c r="L37" s="5">
        <f>INDEX(products!$E$1:$E$49,MATCH($D37,products!$A$1:$A$49,0))</f>
        <v>5.97</v>
      </c>
      <c r="M37" s="5">
        <f t="shared" si="0"/>
        <v>35.82</v>
      </c>
      <c r="N37" t="str" cm="1">
        <f t="array" ref="N37">_xlfn.IFS(I37="Rob","Robusta",I37="Exc","Excelsa",I37="Ara","Arabica",I37="Lib","Liberica")</f>
        <v>Arabica</v>
      </c>
      <c r="O37" t="str" cm="1">
        <f t="array" ref="O37">_xlfn.SWITCH($J37,"M","Medium","L","Light","D","Dark")</f>
        <v>Dark</v>
      </c>
      <c r="P37" t="str">
        <f>_xlfn.XLOOKUP(Table1[[#This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IF(_xlfn.XLOOKUP(C38,customers!$A$1:$A$1001,customers!$C$1:$C$1001,,0)=0,"Not _Provided",_xlfn.XLOOKUP(C38,customers!$A$1:$A$1001,customers!$C$1:$C$1001,,0))</f>
        <v>zponting10@altervista.org</v>
      </c>
      <c r="H38" s="2" t="str">
        <f>_xlfn.XLOOKUP(C38,customers!$A$1:$A$1001,customers!$G$1:$G$1001,,0)</f>
        <v>United States</v>
      </c>
      <c r="I38" t="str">
        <f>INDEX(products!$B$1:$B$49,MATCH($D38,products!$A$1:$A$49,0))</f>
        <v>Lib</v>
      </c>
      <c r="J38" t="str">
        <f>INDEX(products!$C$1:$C$49,MATCH($D38,products!$A$1:$A$49,0))</f>
        <v>M</v>
      </c>
      <c r="K38" s="4">
        <f>INDEX(products!$D$1:$D$49,MATCH($D38,products!$A$1:$A$49,0))</f>
        <v>0.2</v>
      </c>
      <c r="L38" s="5">
        <f>INDEX(products!$E$1:$E$49,MATCH($D38,products!$A$1:$A$49,0))</f>
        <v>4.3650000000000002</v>
      </c>
      <c r="M38" s="5">
        <f t="shared" si="0"/>
        <v>8.73</v>
      </c>
      <c r="N38" t="str" cm="1">
        <f t="array" ref="N38">_xlfn.IFS(I38="Rob","Robusta",I38="Exc","Excelsa",I38="Ara","Arabica",I38="Lib","Liberica")</f>
        <v>Liberica</v>
      </c>
      <c r="O38" t="str" cm="1">
        <f t="array" ref="O38">_xlfn.SWITCH($J38,"M","Medium","L","Light","D","Dark")</f>
        <v>Medium</v>
      </c>
      <c r="P38" t="str">
        <f>_xlfn.XLOOKUP(Table1[[#This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IF(_xlfn.XLOOKUP(C39,customers!$A$1:$A$1001,customers!$C$1:$C$1001,,0)=0,"Not _Provided",_xlfn.XLOOKUP(C39,customers!$A$1:$A$1001,customers!$C$1:$C$1001,,0))</f>
        <v>sstrase11@booking.com</v>
      </c>
      <c r="H39" s="2" t="str">
        <f>_xlfn.XLOOKUP(C39,customers!$A$1:$A$1001,customers!$G$1:$G$1001,,0)</f>
        <v>United States</v>
      </c>
      <c r="I39" t="str">
        <f>INDEX(products!$B$1:$B$49,MATCH($D39,products!$A$1:$A$49,0))</f>
        <v>Lib</v>
      </c>
      <c r="J39" t="str">
        <f>INDEX(products!$C$1:$C$49,MATCH($D39,products!$A$1:$A$49,0))</f>
        <v>L</v>
      </c>
      <c r="K39" s="4">
        <f>INDEX(products!$D$1:$D$49,MATCH($D39,products!$A$1:$A$49,0))</f>
        <v>0.5</v>
      </c>
      <c r="L39" s="5">
        <f>INDEX(products!$E$1:$E$49,MATCH($D39,products!$A$1:$A$49,0))</f>
        <v>9.51</v>
      </c>
      <c r="M39" s="5">
        <f t="shared" si="0"/>
        <v>28.53</v>
      </c>
      <c r="N39" t="str" cm="1">
        <f t="array" ref="N39">_xlfn.IFS(I39="Rob","Robusta",I39="Exc","Excelsa",I39="Ara","Arabica",I39="Lib","Liberica")</f>
        <v>Liberica</v>
      </c>
      <c r="O39" t="str" cm="1">
        <f t="array" ref="O39">_xlfn.SWITCH($J39,"M","Medium","L","Light","D","Dark")</f>
        <v>Light</v>
      </c>
      <c r="P39" t="str">
        <f>_xlfn.XLOOKUP(Table1[[#This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IF(_xlfn.XLOOKUP(C40,customers!$A$1:$A$1001,customers!$C$1:$C$1001,,0)=0,"Not _Provided",_xlfn.XLOOKUP(C40,customers!$A$1:$A$1001,customers!$C$1:$C$1001,,0))</f>
        <v>dde12@unesco.org</v>
      </c>
      <c r="H40" s="2" t="str">
        <f>_xlfn.XLOOKUP(C40,customers!$A$1:$A$1001,customers!$G$1:$G$1001,,0)</f>
        <v>United States</v>
      </c>
      <c r="I40" t="str">
        <f>INDEX(products!$B$1:$B$49,MATCH($D40,products!$A$1:$A$49,0))</f>
        <v>Rob</v>
      </c>
      <c r="J40" t="str">
        <f>INDEX(products!$C$1:$C$49,MATCH($D40,products!$A$1:$A$49,0))</f>
        <v>M</v>
      </c>
      <c r="K40" s="4">
        <f>INDEX(products!$D$1:$D$49,MATCH($D40,products!$A$1:$A$49,0))</f>
        <v>2.5</v>
      </c>
      <c r="L40" s="5">
        <f>INDEX(products!$E$1:$E$49,MATCH($D40,products!$A$1:$A$49,0))</f>
        <v>22.884999999999998</v>
      </c>
      <c r="M40" s="5">
        <f t="shared" si="0"/>
        <v>114.42499999999998</v>
      </c>
      <c r="N40" t="str" cm="1">
        <f t="array" ref="N40">_xlfn.IFS(I40="Rob","Robusta",I40="Exc","Excelsa",I40="Ara","Arabica",I40="Lib","Liberica")</f>
        <v>Robusta</v>
      </c>
      <c r="O40" t="str" cm="1">
        <f t="array" ref="O40">_xlfn.SWITCH($J40,"M","Medium","L","Light","D","Dark")</f>
        <v>Medium</v>
      </c>
      <c r="P40" t="str">
        <f>_xlfn.XLOOKUP(Table1[[#This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IF(_xlfn.XLOOKUP(C41,customers!$A$1:$A$1001,customers!$C$1:$C$1001,,0)=0,"Not _Provided",_xlfn.XLOOKUP(C41,customers!$A$1:$A$1001,customers!$C$1:$C$1001,,0))</f>
        <v>Not _Provided</v>
      </c>
      <c r="H41" s="2" t="str">
        <f>_xlfn.XLOOKUP(C41,customers!$A$1:$A$1001,customers!$G$1:$G$1001,,0)</f>
        <v>United States</v>
      </c>
      <c r="I41" t="str">
        <f>INDEX(products!$B$1:$B$49,MATCH($D41,products!$A$1:$A$49,0))</f>
        <v>Rob</v>
      </c>
      <c r="J41" t="str">
        <f>INDEX(products!$C$1:$C$49,MATCH($D41,products!$A$1:$A$49,0))</f>
        <v>M</v>
      </c>
      <c r="K41" s="4">
        <f>INDEX(products!$D$1:$D$49,MATCH($D41,products!$A$1:$A$49,0))</f>
        <v>1</v>
      </c>
      <c r="L41" s="5">
        <f>INDEX(products!$E$1:$E$49,MATCH($D41,products!$A$1:$A$49,0))</f>
        <v>9.9499999999999993</v>
      </c>
      <c r="M41" s="5">
        <f t="shared" si="0"/>
        <v>59.699999999999996</v>
      </c>
      <c r="N41" t="str" cm="1">
        <f t="array" ref="N41">_xlfn.IFS(I41="Rob","Robusta",I41="Exc","Excelsa",I41="Ara","Arabica",I41="Lib","Liberica")</f>
        <v>Robusta</v>
      </c>
      <c r="O41" t="str" cm="1">
        <f t="array" ref="O41">_xlfn.SWITCH($J41,"M","Medium","L","Light","D","Dark")</f>
        <v>Medium</v>
      </c>
      <c r="P41" t="str">
        <f>_xlfn.XLOOKUP(Table1[[#This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IF(_xlfn.XLOOKUP(C42,customers!$A$1:$A$1001,customers!$C$1:$C$1001,,0)=0,"Not _Provided",_xlfn.XLOOKUP(C42,customers!$A$1:$A$1001,customers!$C$1:$C$1001,,0))</f>
        <v>Not _Provided</v>
      </c>
      <c r="H42" s="2" t="str">
        <f>_xlfn.XLOOKUP(C42,customers!$A$1:$A$1001,customers!$G$1:$G$1001,,0)</f>
        <v>United States</v>
      </c>
      <c r="I42" t="str">
        <f>INDEX(products!$B$1:$B$49,MATCH($D42,products!$A$1:$A$49,0))</f>
        <v>Lib</v>
      </c>
      <c r="J42" t="str">
        <f>INDEX(products!$C$1:$C$49,MATCH($D42,products!$A$1:$A$49,0))</f>
        <v>M</v>
      </c>
      <c r="K42" s="4">
        <f>INDEX(products!$D$1:$D$49,MATCH($D42,products!$A$1:$A$49,0))</f>
        <v>1</v>
      </c>
      <c r="L42" s="5">
        <f>INDEX(products!$E$1:$E$49,MATCH($D42,products!$A$1:$A$49,0))</f>
        <v>14.55</v>
      </c>
      <c r="M42" s="5">
        <f t="shared" si="0"/>
        <v>43.650000000000006</v>
      </c>
      <c r="N42" t="str" cm="1">
        <f t="array" ref="N42">_xlfn.IFS(I42="Rob","Robusta",I42="Exc","Excelsa",I42="Ara","Arabica",I42="Lib","Liberica")</f>
        <v>Liberica</v>
      </c>
      <c r="O42" t="str" cm="1">
        <f t="array" ref="O42">_xlfn.SWITCH($J42,"M","Medium","L","Light","D","Dark")</f>
        <v>Medium</v>
      </c>
      <c r="P42" t="str">
        <f>_xlfn.XLOOKUP(Table1[[#This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IF(_xlfn.XLOOKUP(C43,customers!$A$1:$A$1001,customers!$C$1:$C$1001,,0)=0,"Not _Provided",_xlfn.XLOOKUP(C43,customers!$A$1:$A$1001,customers!$C$1:$C$1001,,0))</f>
        <v>lyeoland15@pbs.org</v>
      </c>
      <c r="H43" s="2" t="str">
        <f>_xlfn.XLOOKUP(C43,customers!$A$1:$A$1001,customers!$G$1:$G$1001,,0)</f>
        <v>United States</v>
      </c>
      <c r="I43" t="str">
        <f>INDEX(products!$B$1:$B$49,MATCH($D43,products!$A$1:$A$49,0))</f>
        <v>Exc</v>
      </c>
      <c r="J43" t="str">
        <f>INDEX(products!$C$1:$C$49,MATCH($D43,products!$A$1:$A$49,0))</f>
        <v>D</v>
      </c>
      <c r="K43" s="4">
        <f>INDEX(products!$D$1:$D$49,MATCH($D43,products!$A$1:$A$49,0))</f>
        <v>0.2</v>
      </c>
      <c r="L43" s="5">
        <f>INDEX(products!$E$1:$E$49,MATCH($D43,products!$A$1:$A$49,0))</f>
        <v>3.645</v>
      </c>
      <c r="M43" s="5">
        <f t="shared" si="0"/>
        <v>7.29</v>
      </c>
      <c r="N43" t="str" cm="1">
        <f t="array" ref="N43">_xlfn.IFS(I43="Rob","Robusta",I43="Exc","Excelsa",I43="Ara","Arabica",I43="Lib","Liberica")</f>
        <v>Excelsa</v>
      </c>
      <c r="O43" t="str" cm="1">
        <f t="array" ref="O43">_xlfn.SWITCH($J43,"M","Medium","L","Light","D","Dark")</f>
        <v>Dark</v>
      </c>
      <c r="P43" t="str">
        <f>_xlfn.XLOOKUP(Table1[[#This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IF(_xlfn.XLOOKUP(C44,customers!$A$1:$A$1001,customers!$C$1:$C$1001,,0)=0,"Not _Provided",_xlfn.XLOOKUP(C44,customers!$A$1:$A$1001,customers!$C$1:$C$1001,,0))</f>
        <v>atolworthy16@toplist.cz</v>
      </c>
      <c r="H44" s="2" t="str">
        <f>_xlfn.XLOOKUP(C44,customers!$A$1:$A$1001,customers!$G$1:$G$1001,,0)</f>
        <v>United States</v>
      </c>
      <c r="I44" t="str">
        <f>INDEX(products!$B$1:$B$49,MATCH($D44,products!$A$1:$A$49,0))</f>
        <v>Rob</v>
      </c>
      <c r="J44" t="str">
        <f>INDEX(products!$C$1:$C$49,MATCH($D44,products!$A$1:$A$49,0))</f>
        <v>D</v>
      </c>
      <c r="K44" s="4">
        <f>INDEX(products!$D$1:$D$49,MATCH($D44,products!$A$1:$A$49,0))</f>
        <v>0.2</v>
      </c>
      <c r="L44" s="5">
        <f>INDEX(products!$E$1:$E$49,MATCH($D44,products!$A$1:$A$49,0))</f>
        <v>2.6849999999999996</v>
      </c>
      <c r="M44" s="5">
        <f t="shared" si="0"/>
        <v>8.0549999999999997</v>
      </c>
      <c r="N44" t="str" cm="1">
        <f t="array" ref="N44">_xlfn.IFS(I44="Rob","Robusta",I44="Exc","Excelsa",I44="Ara","Arabica",I44="Lib","Liberica")</f>
        <v>Robusta</v>
      </c>
      <c r="O44" t="str" cm="1">
        <f t="array" ref="O44">_xlfn.SWITCH($J44,"M","Medium","L","Light","D","Dark")</f>
        <v>Dark</v>
      </c>
      <c r="P44" t="str">
        <f>_xlfn.XLOOKUP(Table1[[#This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IF(_xlfn.XLOOKUP(C45,customers!$A$1:$A$1001,customers!$C$1:$C$1001,,0)=0,"Not _Provided",_xlfn.XLOOKUP(C45,customers!$A$1:$A$1001,customers!$C$1:$C$1001,,0))</f>
        <v>Not _Provided</v>
      </c>
      <c r="H45" s="2" t="str">
        <f>_xlfn.XLOOKUP(C45,customers!$A$1:$A$1001,customers!$G$1:$G$1001,,0)</f>
        <v>United States</v>
      </c>
      <c r="I45" t="str">
        <f>INDEX(products!$B$1:$B$49,MATCH($D45,products!$A$1:$A$49,0))</f>
        <v>Lib</v>
      </c>
      <c r="J45" t="str">
        <f>INDEX(products!$C$1:$C$49,MATCH($D45,products!$A$1:$A$49,0))</f>
        <v>L</v>
      </c>
      <c r="K45" s="4">
        <f>INDEX(products!$D$1:$D$49,MATCH($D45,products!$A$1:$A$49,0))</f>
        <v>2.5</v>
      </c>
      <c r="L45" s="5">
        <f>INDEX(products!$E$1:$E$49,MATCH($D45,products!$A$1:$A$49,0))</f>
        <v>36.454999999999998</v>
      </c>
      <c r="M45" s="5">
        <f t="shared" si="0"/>
        <v>72.91</v>
      </c>
      <c r="N45" t="str" cm="1">
        <f t="array" ref="N45">_xlfn.IFS(I45="Rob","Robusta",I45="Exc","Excelsa",I45="Ara","Arabica",I45="Lib","Liberica")</f>
        <v>Liberica</v>
      </c>
      <c r="O45" t="str" cm="1">
        <f t="array" ref="O45">_xlfn.SWITCH($J45,"M","Medium","L","Light","D","Dark")</f>
        <v>Light</v>
      </c>
      <c r="P45" t="str">
        <f>_xlfn.XLOOKUP(Table1[[#This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IF(_xlfn.XLOOKUP(C46,customers!$A$1:$A$1001,customers!$C$1:$C$1001,,0)=0,"Not _Provided",_xlfn.XLOOKUP(C46,customers!$A$1:$A$1001,customers!$C$1:$C$1001,,0))</f>
        <v>obaudassi18@seesaa.net</v>
      </c>
      <c r="H46" s="2" t="str">
        <f>_xlfn.XLOOKUP(C46,customers!$A$1:$A$1001,customers!$G$1:$G$1001,,0)</f>
        <v>United States</v>
      </c>
      <c r="I46" t="str">
        <f>INDEX(products!$B$1:$B$49,MATCH($D46,products!$A$1:$A$49,0))</f>
        <v>Exc</v>
      </c>
      <c r="J46" t="str">
        <f>INDEX(products!$C$1:$C$49,MATCH($D46,products!$A$1:$A$49,0))</f>
        <v>M</v>
      </c>
      <c r="K46" s="4">
        <f>INDEX(products!$D$1:$D$49,MATCH($D46,products!$A$1:$A$49,0))</f>
        <v>0.5</v>
      </c>
      <c r="L46" s="5">
        <f>INDEX(products!$E$1:$E$49,MATCH($D46,products!$A$1:$A$49,0))</f>
        <v>8.25</v>
      </c>
      <c r="M46" s="5">
        <f t="shared" si="0"/>
        <v>16.5</v>
      </c>
      <c r="N46" t="str" cm="1">
        <f t="array" ref="N46">_xlfn.IFS(I46="Rob","Robusta",I46="Exc","Excelsa",I46="Ara","Arabica",I46="Lib","Liberica")</f>
        <v>Excelsa</v>
      </c>
      <c r="O46" t="str" cm="1">
        <f t="array" ref="O46">_xlfn.SWITCH($J46,"M","Medium","L","Light","D","Dark")</f>
        <v>Medium</v>
      </c>
      <c r="P46" t="str">
        <f>_xlfn.XLOOKUP(Table1[[#This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IF(_xlfn.XLOOKUP(C47,customers!$A$1:$A$1001,customers!$C$1:$C$1001,,0)=0,"Not _Provided",_xlfn.XLOOKUP(C47,customers!$A$1:$A$1001,customers!$C$1:$C$1001,,0))</f>
        <v>pkingsbury19@comcast.net</v>
      </c>
      <c r="H47" s="2" t="str">
        <f>_xlfn.XLOOKUP(C47,customers!$A$1:$A$1001,customers!$G$1:$G$1001,,0)</f>
        <v>United States</v>
      </c>
      <c r="I47" t="str">
        <f>INDEX(products!$B$1:$B$49,MATCH($D47,products!$A$1:$A$49,0))</f>
        <v>Lib</v>
      </c>
      <c r="J47" t="str">
        <f>INDEX(products!$C$1:$C$49,MATCH($D47,products!$A$1:$A$49,0))</f>
        <v>D</v>
      </c>
      <c r="K47" s="4">
        <f>INDEX(products!$D$1:$D$49,MATCH($D47,products!$A$1:$A$49,0))</f>
        <v>2.5</v>
      </c>
      <c r="L47" s="5">
        <f>INDEX(products!$E$1:$E$49,MATCH($D47,products!$A$1:$A$49,0))</f>
        <v>29.784999999999997</v>
      </c>
      <c r="M47" s="5">
        <f t="shared" si="0"/>
        <v>178.70999999999998</v>
      </c>
      <c r="N47" t="str" cm="1">
        <f t="array" ref="N47">_xlfn.IFS(I47="Rob","Robusta",I47="Exc","Excelsa",I47="Ara","Arabica",I47="Lib","Liberica")</f>
        <v>Liberica</v>
      </c>
      <c r="O47" t="str" cm="1">
        <f t="array" ref="O47">_xlfn.SWITCH($J47,"M","Medium","L","Light","D","Dark")</f>
        <v>Dark</v>
      </c>
      <c r="P47" t="str">
        <f>_xlfn.XLOOKUP(Table1[[#This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IF(_xlfn.XLOOKUP(C48,customers!$A$1:$A$1001,customers!$C$1:$C$1001,,0)=0,"Not _Provided",_xlfn.XLOOKUP(C48,customers!$A$1:$A$1001,customers!$C$1:$C$1001,,0))</f>
        <v>Not _Provided</v>
      </c>
      <c r="H48" s="2" t="str">
        <f>_xlfn.XLOOKUP(C48,customers!$A$1:$A$1001,customers!$G$1:$G$1001,,0)</f>
        <v>United States</v>
      </c>
      <c r="I48" t="str">
        <f>INDEX(products!$B$1:$B$49,MATCH($D48,products!$A$1:$A$49,0))</f>
        <v>Exc</v>
      </c>
      <c r="J48" t="str">
        <f>INDEX(products!$C$1:$C$49,MATCH($D48,products!$A$1:$A$49,0))</f>
        <v>M</v>
      </c>
      <c r="K48" s="4">
        <f>INDEX(products!$D$1:$D$49,MATCH($D48,products!$A$1:$A$49,0))</f>
        <v>2.5</v>
      </c>
      <c r="L48" s="5">
        <f>INDEX(products!$E$1:$E$49,MATCH($D48,products!$A$1:$A$49,0))</f>
        <v>31.624999999999996</v>
      </c>
      <c r="M48" s="5">
        <f t="shared" si="0"/>
        <v>63.249999999999993</v>
      </c>
      <c r="N48" t="str" cm="1">
        <f t="array" ref="N48">_xlfn.IFS(I48="Rob","Robusta",I48="Exc","Excelsa",I48="Ara","Arabica",I48="Lib","Liberica")</f>
        <v>Excelsa</v>
      </c>
      <c r="O48" t="str" cm="1">
        <f t="array" ref="O48">_xlfn.SWITCH($J48,"M","Medium","L","Light","D","Dark")</f>
        <v>Medium</v>
      </c>
      <c r="P48" t="str">
        <f>_xlfn.XLOOKUP(Table1[[#This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IF(_xlfn.XLOOKUP(C49,customers!$A$1:$A$1001,customers!$C$1:$C$1001,,0)=0,"Not _Provided",_xlfn.XLOOKUP(C49,customers!$A$1:$A$1001,customers!$C$1:$C$1001,,0))</f>
        <v>acurley1b@hao123.com</v>
      </c>
      <c r="H49" s="2" t="str">
        <f>_xlfn.XLOOKUP(C49,customers!$A$1:$A$1001,customers!$G$1:$G$1001,,0)</f>
        <v>United States</v>
      </c>
      <c r="I49" t="str">
        <f>INDEX(products!$B$1:$B$49,MATCH($D49,products!$A$1:$A$49,0))</f>
        <v>Ara</v>
      </c>
      <c r="J49" t="str">
        <f>INDEX(products!$C$1:$C$49,MATCH($D49,products!$A$1:$A$49,0))</f>
        <v>L</v>
      </c>
      <c r="K49" s="4">
        <f>INDEX(products!$D$1:$D$49,MATCH($D49,products!$A$1:$A$49,0))</f>
        <v>0.2</v>
      </c>
      <c r="L49" s="5">
        <f>INDEX(products!$E$1:$E$49,MATCH($D49,products!$A$1:$A$49,0))</f>
        <v>3.8849999999999998</v>
      </c>
      <c r="M49" s="5">
        <f t="shared" si="0"/>
        <v>7.77</v>
      </c>
      <c r="N49" t="str" cm="1">
        <f t="array" ref="N49">_xlfn.IFS(I49="Rob","Robusta",I49="Exc","Excelsa",I49="Ara","Arabica",I49="Lib","Liberica")</f>
        <v>Arabica</v>
      </c>
      <c r="O49" t="str" cm="1">
        <f t="array" ref="O49">_xlfn.SWITCH($J49,"M","Medium","L","Light","D","Dark")</f>
        <v>Light</v>
      </c>
      <c r="P49" t="str">
        <f>_xlfn.XLOOKUP(Table1[[#This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IF(_xlfn.XLOOKUP(C50,customers!$A$1:$A$1001,customers!$C$1:$C$1001,,0)=0,"Not _Provided",_xlfn.XLOOKUP(C50,customers!$A$1:$A$1001,customers!$C$1:$C$1001,,0))</f>
        <v>rmcgilvary1c@tamu.edu</v>
      </c>
      <c r="H50" s="2" t="str">
        <f>_xlfn.XLOOKUP(C50,customers!$A$1:$A$1001,customers!$G$1:$G$1001,,0)</f>
        <v>United States</v>
      </c>
      <c r="I50" t="str">
        <f>INDEX(products!$B$1:$B$49,MATCH($D50,products!$A$1:$A$49,0))</f>
        <v>Ara</v>
      </c>
      <c r="J50" t="str">
        <f>INDEX(products!$C$1:$C$49,MATCH($D50,products!$A$1:$A$49,0))</f>
        <v>D</v>
      </c>
      <c r="K50" s="4">
        <f>INDEX(products!$D$1:$D$49,MATCH($D50,products!$A$1:$A$49,0))</f>
        <v>2.5</v>
      </c>
      <c r="L50" s="5">
        <f>INDEX(products!$E$1:$E$49,MATCH($D50,products!$A$1:$A$49,0))</f>
        <v>22.884999999999998</v>
      </c>
      <c r="M50" s="5">
        <f t="shared" si="0"/>
        <v>91.539999999999992</v>
      </c>
      <c r="N50" t="str" cm="1">
        <f t="array" ref="N50">_xlfn.IFS(I50="Rob","Robusta",I50="Exc","Excelsa",I50="Ara","Arabica",I50="Lib","Liberica")</f>
        <v>Arabica</v>
      </c>
      <c r="O50" t="str" cm="1">
        <f t="array" ref="O50">_xlfn.SWITCH($J50,"M","Medium","L","Light","D","Dark")</f>
        <v>Dark</v>
      </c>
      <c r="P50" t="str">
        <f>_xlfn.XLOOKUP(Table1[[#This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IF(_xlfn.XLOOKUP(C51,customers!$A$1:$A$1001,customers!$C$1:$C$1001,,0)=0,"Not _Provided",_xlfn.XLOOKUP(C51,customers!$A$1:$A$1001,customers!$C$1:$C$1001,,0))</f>
        <v>ipikett1d@xinhuanet.com</v>
      </c>
      <c r="H51" s="2" t="str">
        <f>_xlfn.XLOOKUP(C51,customers!$A$1:$A$1001,customers!$G$1:$G$1001,,0)</f>
        <v>United States</v>
      </c>
      <c r="I51" t="str">
        <f>INDEX(products!$B$1:$B$49,MATCH($D51,products!$A$1:$A$49,0))</f>
        <v>Ara</v>
      </c>
      <c r="J51" t="str">
        <f>INDEX(products!$C$1:$C$49,MATCH($D51,products!$A$1:$A$49,0))</f>
        <v>L</v>
      </c>
      <c r="K51" s="4">
        <f>INDEX(products!$D$1:$D$49,MATCH($D51,products!$A$1:$A$49,0))</f>
        <v>1</v>
      </c>
      <c r="L51" s="5">
        <f>INDEX(products!$E$1:$E$49,MATCH($D51,products!$A$1:$A$49,0))</f>
        <v>12.95</v>
      </c>
      <c r="M51" s="5">
        <f t="shared" si="0"/>
        <v>38.849999999999994</v>
      </c>
      <c r="N51" t="str" cm="1">
        <f t="array" ref="N51">_xlfn.IFS(I51="Rob","Robusta",I51="Exc","Excelsa",I51="Ara","Arabica",I51="Lib","Liberica")</f>
        <v>Arabica</v>
      </c>
      <c r="O51" t="str" cm="1">
        <f t="array" ref="O51">_xlfn.SWITCH($J51,"M","Medium","L","Light","D","Dark")</f>
        <v>Light</v>
      </c>
      <c r="P51" t="str">
        <f>_xlfn.XLOOKUP(Table1[[#This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IF(_xlfn.XLOOKUP(C52,customers!$A$1:$A$1001,customers!$C$1:$C$1001,,0)=0,"Not _Provided",_xlfn.XLOOKUP(C52,customers!$A$1:$A$1001,customers!$C$1:$C$1001,,0))</f>
        <v>ibouldon1e@gizmodo.com</v>
      </c>
      <c r="H52" s="2" t="str">
        <f>_xlfn.XLOOKUP(C52,customers!$A$1:$A$1001,customers!$G$1:$G$1001,,0)</f>
        <v>United States</v>
      </c>
      <c r="I52" t="str">
        <f>INDEX(products!$B$1:$B$49,MATCH($D52,products!$A$1:$A$49,0))</f>
        <v>Lib</v>
      </c>
      <c r="J52" t="str">
        <f>INDEX(products!$C$1:$C$49,MATCH($D52,products!$A$1:$A$49,0))</f>
        <v>D</v>
      </c>
      <c r="K52" s="4">
        <f>INDEX(products!$D$1:$D$49,MATCH($D52,products!$A$1:$A$49,0))</f>
        <v>0.5</v>
      </c>
      <c r="L52" s="5">
        <f>INDEX(products!$E$1:$E$49,MATCH($D52,products!$A$1:$A$49,0))</f>
        <v>7.77</v>
      </c>
      <c r="M52" s="5">
        <f t="shared" si="0"/>
        <v>15.54</v>
      </c>
      <c r="N52" t="str" cm="1">
        <f t="array" ref="N52">_xlfn.IFS(I52="Rob","Robusta",I52="Exc","Excelsa",I52="Ara","Arabica",I52="Lib","Liberica")</f>
        <v>Liberica</v>
      </c>
      <c r="O52" t="str" cm="1">
        <f t="array" ref="O52">_xlfn.SWITCH($J52,"M","Medium","L","Light","D","Dark")</f>
        <v>Dark</v>
      </c>
      <c r="P52" t="str">
        <f>_xlfn.XLOOKUP(Table1[[#This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IF(_xlfn.XLOOKUP(C53,customers!$A$1:$A$1001,customers!$C$1:$C$1001,,0)=0,"Not _Provided",_xlfn.XLOOKUP(C53,customers!$A$1:$A$1001,customers!$C$1:$C$1001,,0))</f>
        <v>kflanders1f@over-blog.com</v>
      </c>
      <c r="H53" s="2" t="str">
        <f>_xlfn.XLOOKUP(C53,customers!$A$1:$A$1001,customers!$G$1:$G$1001,,0)</f>
        <v>Ireland</v>
      </c>
      <c r="I53" t="str">
        <f>INDEX(products!$B$1:$B$49,MATCH($D53,products!$A$1:$A$49,0))</f>
        <v>Lib</v>
      </c>
      <c r="J53" t="str">
        <f>INDEX(products!$C$1:$C$49,MATCH($D53,products!$A$1:$A$49,0))</f>
        <v>L</v>
      </c>
      <c r="K53" s="4">
        <f>INDEX(products!$D$1:$D$49,MATCH($D53,products!$A$1:$A$49,0))</f>
        <v>2.5</v>
      </c>
      <c r="L53" s="5">
        <f>INDEX(products!$E$1:$E$49,MATCH($D53,products!$A$1:$A$49,0))</f>
        <v>36.454999999999998</v>
      </c>
      <c r="M53" s="5">
        <f t="shared" si="0"/>
        <v>145.82</v>
      </c>
      <c r="N53" t="str" cm="1">
        <f t="array" ref="N53">_xlfn.IFS(I53="Rob","Robusta",I53="Exc","Excelsa",I53="Ara","Arabica",I53="Lib","Liberica")</f>
        <v>Liberica</v>
      </c>
      <c r="O53" t="str" cm="1">
        <f t="array" ref="O53">_xlfn.SWITCH($J53,"M","Medium","L","Light","D","Dark")</f>
        <v>Light</v>
      </c>
      <c r="P53" t="str">
        <f>_xlfn.XLOOKUP(Table1[[#This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IF(_xlfn.XLOOKUP(C54,customers!$A$1:$A$1001,customers!$C$1:$C$1001,,0)=0,"Not _Provided",_xlfn.XLOOKUP(C54,customers!$A$1:$A$1001,customers!$C$1:$C$1001,,0))</f>
        <v>hmattioli1g@webmd.com</v>
      </c>
      <c r="H54" s="2" t="str">
        <f>_xlfn.XLOOKUP(C54,customers!$A$1:$A$1001,customers!$G$1:$G$1001,,0)</f>
        <v>United Kingdom</v>
      </c>
      <c r="I54" t="str">
        <f>INDEX(products!$B$1:$B$49,MATCH($D54,products!$A$1:$A$49,0))</f>
        <v>Rob</v>
      </c>
      <c r="J54" t="str">
        <f>INDEX(products!$C$1:$C$49,MATCH($D54,products!$A$1:$A$49,0))</f>
        <v>M</v>
      </c>
      <c r="K54" s="4">
        <f>INDEX(products!$D$1:$D$49,MATCH($D54,products!$A$1:$A$49,0))</f>
        <v>0.5</v>
      </c>
      <c r="L54" s="5">
        <f>INDEX(products!$E$1:$E$49,MATCH($D54,products!$A$1:$A$49,0))</f>
        <v>5.97</v>
      </c>
      <c r="M54" s="5">
        <f t="shared" si="0"/>
        <v>29.849999999999998</v>
      </c>
      <c r="N54" t="str" cm="1">
        <f t="array" ref="N54">_xlfn.IFS(I54="Rob","Robusta",I54="Exc","Excelsa",I54="Ara","Arabica",I54="Lib","Liberica")</f>
        <v>Robusta</v>
      </c>
      <c r="O54" t="str" cm="1">
        <f t="array" ref="O54">_xlfn.SWITCH($J54,"M","Medium","L","Light","D","Dark")</f>
        <v>Medium</v>
      </c>
      <c r="P54" t="str">
        <f>_xlfn.XLOOKUP(Table1[[#This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IF(_xlfn.XLOOKUP(C55,customers!$A$1:$A$1001,customers!$C$1:$C$1001,,0)=0,"Not _Provided",_xlfn.XLOOKUP(C55,customers!$A$1:$A$1001,customers!$C$1:$C$1001,,0))</f>
        <v>hmattioli1g@webmd.com</v>
      </c>
      <c r="H55" s="2" t="str">
        <f>_xlfn.XLOOKUP(C55,customers!$A$1:$A$1001,customers!$G$1:$G$1001,,0)</f>
        <v>United Kingdom</v>
      </c>
      <c r="I55" t="str">
        <f>INDEX(products!$B$1:$B$49,MATCH($D55,products!$A$1:$A$49,0))</f>
        <v>Lib</v>
      </c>
      <c r="J55" t="str">
        <f>INDEX(products!$C$1:$C$49,MATCH($D55,products!$A$1:$A$49,0))</f>
        <v>L</v>
      </c>
      <c r="K55" s="4">
        <f>INDEX(products!$D$1:$D$49,MATCH($D55,products!$A$1:$A$49,0))</f>
        <v>2.5</v>
      </c>
      <c r="L55" s="5">
        <f>INDEX(products!$E$1:$E$49,MATCH($D55,products!$A$1:$A$49,0))</f>
        <v>36.454999999999998</v>
      </c>
      <c r="M55" s="5">
        <f t="shared" si="0"/>
        <v>72.91</v>
      </c>
      <c r="N55" t="str" cm="1">
        <f t="array" ref="N55">_xlfn.IFS(I55="Rob","Robusta",I55="Exc","Excelsa",I55="Ara","Arabica",I55="Lib","Liberica")</f>
        <v>Liberica</v>
      </c>
      <c r="O55" t="str" cm="1">
        <f t="array" ref="O55">_xlfn.SWITCH($J55,"M","Medium","L","Light","D","Dark")</f>
        <v>Light</v>
      </c>
      <c r="P55" t="str">
        <f>_xlfn.XLOOKUP(Table1[[#This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IF(_xlfn.XLOOKUP(C56,customers!$A$1:$A$1001,customers!$C$1:$C$1001,,0)=0,"Not _Provided",_xlfn.XLOOKUP(C56,customers!$A$1:$A$1001,customers!$C$1:$C$1001,,0))</f>
        <v>agillard1i@issuu.com</v>
      </c>
      <c r="H56" s="2" t="str">
        <f>_xlfn.XLOOKUP(C56,customers!$A$1:$A$1001,customers!$G$1:$G$1001,,0)</f>
        <v>United States</v>
      </c>
      <c r="I56" t="str">
        <f>INDEX(products!$B$1:$B$49,MATCH($D56,products!$A$1:$A$49,0))</f>
        <v>Lib</v>
      </c>
      <c r="J56" t="str">
        <f>INDEX(products!$C$1:$C$49,MATCH($D56,products!$A$1:$A$49,0))</f>
        <v>M</v>
      </c>
      <c r="K56" s="4">
        <f>INDEX(products!$D$1:$D$49,MATCH($D56,products!$A$1:$A$49,0))</f>
        <v>1</v>
      </c>
      <c r="L56" s="5">
        <f>INDEX(products!$E$1:$E$49,MATCH($D56,products!$A$1:$A$49,0))</f>
        <v>14.55</v>
      </c>
      <c r="M56" s="5">
        <f t="shared" si="0"/>
        <v>72.75</v>
      </c>
      <c r="N56" t="str" cm="1">
        <f t="array" ref="N56">_xlfn.IFS(I56="Rob","Robusta",I56="Exc","Excelsa",I56="Ara","Arabica",I56="Lib","Liberica")</f>
        <v>Liberica</v>
      </c>
      <c r="O56" t="str" cm="1">
        <f t="array" ref="O56">_xlfn.SWITCH($J56,"M","Medium","L","Light","D","Dark")</f>
        <v>Medium</v>
      </c>
      <c r="P56" t="str">
        <f>_xlfn.XLOOKUP(Table1[[#This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IF(_xlfn.XLOOKUP(C57,customers!$A$1:$A$1001,customers!$C$1:$C$1001,,0)=0,"Not _Provided",_xlfn.XLOOKUP(C57,customers!$A$1:$A$1001,customers!$C$1:$C$1001,,0))</f>
        <v>Not _Provided</v>
      </c>
      <c r="H57" s="2" t="str">
        <f>_xlfn.XLOOKUP(C57,customers!$A$1:$A$1001,customers!$G$1:$G$1001,,0)</f>
        <v>United States</v>
      </c>
      <c r="I57" t="str">
        <f>INDEX(products!$B$1:$B$49,MATCH($D57,products!$A$1:$A$49,0))</f>
        <v>Lib</v>
      </c>
      <c r="J57" t="str">
        <f>INDEX(products!$C$1:$C$49,MATCH($D57,products!$A$1:$A$49,0))</f>
        <v>L</v>
      </c>
      <c r="K57" s="4">
        <f>INDEX(products!$D$1:$D$49,MATCH($D57,products!$A$1:$A$49,0))</f>
        <v>1</v>
      </c>
      <c r="L57" s="5">
        <f>INDEX(products!$E$1:$E$49,MATCH($D57,products!$A$1:$A$49,0))</f>
        <v>15.85</v>
      </c>
      <c r="M57" s="5">
        <f t="shared" si="0"/>
        <v>47.55</v>
      </c>
      <c r="N57" t="str" cm="1">
        <f t="array" ref="N57">_xlfn.IFS(I57="Rob","Robusta",I57="Exc","Excelsa",I57="Ara","Arabica",I57="Lib","Liberica")</f>
        <v>Liberica</v>
      </c>
      <c r="O57" t="str" cm="1">
        <f t="array" ref="O57">_xlfn.SWITCH($J57,"M","Medium","L","Light","D","Dark")</f>
        <v>Light</v>
      </c>
      <c r="P57" t="str">
        <f>_xlfn.XLOOKUP(Table1[[#This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IF(_xlfn.XLOOKUP(C58,customers!$A$1:$A$1001,customers!$C$1:$C$1001,,0)=0,"Not _Provided",_xlfn.XLOOKUP(C58,customers!$A$1:$A$1001,customers!$C$1:$C$1001,,0))</f>
        <v>tgrizard1k@odnoklassniki.ru</v>
      </c>
      <c r="H58" s="2" t="str">
        <f>_xlfn.XLOOKUP(C58,customers!$A$1:$A$1001,customers!$G$1:$G$1001,,0)</f>
        <v>United States</v>
      </c>
      <c r="I58" t="str">
        <f>INDEX(products!$B$1:$B$49,MATCH($D58,products!$A$1:$A$49,0))</f>
        <v>Exc</v>
      </c>
      <c r="J58" t="str">
        <f>INDEX(products!$C$1:$C$49,MATCH($D58,products!$A$1:$A$49,0))</f>
        <v>D</v>
      </c>
      <c r="K58" s="4">
        <f>INDEX(products!$D$1:$D$49,MATCH($D58,products!$A$1:$A$49,0))</f>
        <v>0.2</v>
      </c>
      <c r="L58" s="5">
        <f>INDEX(products!$E$1:$E$49,MATCH($D58,products!$A$1:$A$49,0))</f>
        <v>3.645</v>
      </c>
      <c r="M58" s="5">
        <f t="shared" si="0"/>
        <v>10.935</v>
      </c>
      <c r="N58" t="str" cm="1">
        <f t="array" ref="N58">_xlfn.IFS(I58="Rob","Robusta",I58="Exc","Excelsa",I58="Ara","Arabica",I58="Lib","Liberica")</f>
        <v>Excelsa</v>
      </c>
      <c r="O58" t="str" cm="1">
        <f t="array" ref="O58">_xlfn.SWITCH($J58,"M","Medium","L","Light","D","Dark")</f>
        <v>Dark</v>
      </c>
      <c r="P58" t="str">
        <f>_xlfn.XLOOKUP(Table1[[#This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IF(_xlfn.XLOOKUP(C59,customers!$A$1:$A$1001,customers!$C$1:$C$1001,,0)=0,"Not _Provided",_xlfn.XLOOKUP(C59,customers!$A$1:$A$1001,customers!$C$1:$C$1001,,0))</f>
        <v>rrelton1l@stanford.edu</v>
      </c>
      <c r="H59" s="2" t="str">
        <f>_xlfn.XLOOKUP(C59,customers!$A$1:$A$1001,customers!$G$1:$G$1001,,0)</f>
        <v>United States</v>
      </c>
      <c r="I59" t="str">
        <f>INDEX(products!$B$1:$B$49,MATCH($D59,products!$A$1:$A$49,0))</f>
        <v>Exc</v>
      </c>
      <c r="J59" t="str">
        <f>INDEX(products!$C$1:$C$49,MATCH($D59,products!$A$1:$A$49,0))</f>
        <v>L</v>
      </c>
      <c r="K59" s="4">
        <f>INDEX(products!$D$1:$D$49,MATCH($D59,products!$A$1:$A$49,0))</f>
        <v>1</v>
      </c>
      <c r="L59" s="5">
        <f>INDEX(products!$E$1:$E$49,MATCH($D59,products!$A$1:$A$49,0))</f>
        <v>14.85</v>
      </c>
      <c r="M59" s="5">
        <f t="shared" si="0"/>
        <v>59.4</v>
      </c>
      <c r="N59" t="str" cm="1">
        <f t="array" ref="N59">_xlfn.IFS(I59="Rob","Robusta",I59="Exc","Excelsa",I59="Ara","Arabica",I59="Lib","Liberica")</f>
        <v>Excelsa</v>
      </c>
      <c r="O59" t="str" cm="1">
        <f t="array" ref="O59">_xlfn.SWITCH($J59,"M","Medium","L","Light","D","Dark")</f>
        <v>Light</v>
      </c>
      <c r="P59" t="str">
        <f>_xlfn.XLOOKUP(Table1[[#This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IF(_xlfn.XLOOKUP(C60,customers!$A$1:$A$1001,customers!$C$1:$C$1001,,0)=0,"Not _Provided",_xlfn.XLOOKUP(C60,customers!$A$1:$A$1001,customers!$C$1:$C$1001,,0))</f>
        <v>Not _Provided</v>
      </c>
      <c r="H60" s="2" t="str">
        <f>_xlfn.XLOOKUP(C60,customers!$A$1:$A$1001,customers!$G$1:$G$1001,,0)</f>
        <v>United States</v>
      </c>
      <c r="I60" t="str">
        <f>INDEX(products!$B$1:$B$49,MATCH($D60,products!$A$1:$A$49,0))</f>
        <v>Lib</v>
      </c>
      <c r="J60" t="str">
        <f>INDEX(products!$C$1:$C$49,MATCH($D60,products!$A$1:$A$49,0))</f>
        <v>D</v>
      </c>
      <c r="K60" s="4">
        <f>INDEX(products!$D$1:$D$49,MATCH($D60,products!$A$1:$A$49,0))</f>
        <v>2.5</v>
      </c>
      <c r="L60" s="5">
        <f>INDEX(products!$E$1:$E$49,MATCH($D60,products!$A$1:$A$49,0))</f>
        <v>29.784999999999997</v>
      </c>
      <c r="M60" s="5">
        <f t="shared" si="0"/>
        <v>89.35499999999999</v>
      </c>
      <c r="N60" t="str" cm="1">
        <f t="array" ref="N60">_xlfn.IFS(I60="Rob","Robusta",I60="Exc","Excelsa",I60="Ara","Arabica",I60="Lib","Liberica")</f>
        <v>Liberica</v>
      </c>
      <c r="O60" t="str" cm="1">
        <f t="array" ref="O60">_xlfn.SWITCH($J60,"M","Medium","L","Light","D","Dark")</f>
        <v>Dark</v>
      </c>
      <c r="P60" t="str">
        <f>_xlfn.XLOOKUP(Table1[[#This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IF(_xlfn.XLOOKUP(C61,customers!$A$1:$A$1001,customers!$C$1:$C$1001,,0)=0,"Not _Provided",_xlfn.XLOOKUP(C61,customers!$A$1:$A$1001,customers!$C$1:$C$1001,,0))</f>
        <v>sgilroy1n@eepurl.com</v>
      </c>
      <c r="H61" s="2" t="str">
        <f>_xlfn.XLOOKUP(C61,customers!$A$1:$A$1001,customers!$G$1:$G$1001,,0)</f>
        <v>United States</v>
      </c>
      <c r="I61" t="str">
        <f>INDEX(products!$B$1:$B$49,MATCH($D61,products!$A$1:$A$49,0))</f>
        <v>Lib</v>
      </c>
      <c r="J61" t="str">
        <f>INDEX(products!$C$1:$C$49,MATCH($D61,products!$A$1:$A$49,0))</f>
        <v>M</v>
      </c>
      <c r="K61" s="4">
        <f>INDEX(products!$D$1:$D$49,MATCH($D61,products!$A$1:$A$49,0))</f>
        <v>0.5</v>
      </c>
      <c r="L61" s="5">
        <f>INDEX(products!$E$1:$E$49,MATCH($D61,products!$A$1:$A$49,0))</f>
        <v>8.73</v>
      </c>
      <c r="M61" s="5">
        <f t="shared" si="0"/>
        <v>26.19</v>
      </c>
      <c r="N61" t="str" cm="1">
        <f t="array" ref="N61">_xlfn.IFS(I61="Rob","Robusta",I61="Exc","Excelsa",I61="Ara","Arabica",I61="Lib","Liberica")</f>
        <v>Liberica</v>
      </c>
      <c r="O61" t="str" cm="1">
        <f t="array" ref="O61">_xlfn.SWITCH($J61,"M","Medium","L","Light","D","Dark")</f>
        <v>Medium</v>
      </c>
      <c r="P61" t="str">
        <f>_xlfn.XLOOKUP(Table1[[#This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IF(_xlfn.XLOOKUP(C62,customers!$A$1:$A$1001,customers!$C$1:$C$1001,,0)=0,"Not _Provided",_xlfn.XLOOKUP(C62,customers!$A$1:$A$1001,customers!$C$1:$C$1001,,0))</f>
        <v>ccottingham1o@wikipedia.org</v>
      </c>
      <c r="H62" s="2" t="str">
        <f>_xlfn.XLOOKUP(C62,customers!$A$1:$A$1001,customers!$G$1:$G$1001,,0)</f>
        <v>United States</v>
      </c>
      <c r="I62" t="str">
        <f>INDEX(products!$B$1:$B$49,MATCH($D62,products!$A$1:$A$49,0))</f>
        <v>Ara</v>
      </c>
      <c r="J62" t="str">
        <f>INDEX(products!$C$1:$C$49,MATCH($D62,products!$A$1:$A$49,0))</f>
        <v>D</v>
      </c>
      <c r="K62" s="4">
        <f>INDEX(products!$D$1:$D$49,MATCH($D62,products!$A$1:$A$49,0))</f>
        <v>2.5</v>
      </c>
      <c r="L62" s="5">
        <f>INDEX(products!$E$1:$E$49,MATCH($D62,products!$A$1:$A$49,0))</f>
        <v>22.884999999999998</v>
      </c>
      <c r="M62" s="5">
        <f t="shared" si="0"/>
        <v>114.42499999999998</v>
      </c>
      <c r="N62" t="str" cm="1">
        <f t="array" ref="N62">_xlfn.IFS(I62="Rob","Robusta",I62="Exc","Excelsa",I62="Ara","Arabica",I62="Lib","Liberica")</f>
        <v>Arabica</v>
      </c>
      <c r="O62" t="str" cm="1">
        <f t="array" ref="O62">_xlfn.SWITCH($J62,"M","Medium","L","Light","D","Dark")</f>
        <v>Dark</v>
      </c>
      <c r="P62" t="str">
        <f>_xlfn.XLOOKUP(Table1[[#This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IF(_xlfn.XLOOKUP(C63,customers!$A$1:$A$1001,customers!$C$1:$C$1001,,0)=0,"Not _Provided",_xlfn.XLOOKUP(C63,customers!$A$1:$A$1001,customers!$C$1:$C$1001,,0))</f>
        <v>Not _Provided</v>
      </c>
      <c r="H63" s="2" t="str">
        <f>_xlfn.XLOOKUP(C63,customers!$A$1:$A$1001,customers!$G$1:$G$1001,,0)</f>
        <v>United Kingdom</v>
      </c>
      <c r="I63" t="str">
        <f>INDEX(products!$B$1:$B$49,MATCH($D63,products!$A$1:$A$49,0))</f>
        <v>Rob</v>
      </c>
      <c r="J63" t="str">
        <f>INDEX(products!$C$1:$C$49,MATCH($D63,products!$A$1:$A$49,0))</f>
        <v>D</v>
      </c>
      <c r="K63" s="4">
        <f>INDEX(products!$D$1:$D$49,MATCH($D63,products!$A$1:$A$49,0))</f>
        <v>0.5</v>
      </c>
      <c r="L63" s="5">
        <f>INDEX(products!$E$1:$E$49,MATCH($D63,products!$A$1:$A$49,0))</f>
        <v>5.3699999999999992</v>
      </c>
      <c r="M63" s="5">
        <f t="shared" si="0"/>
        <v>26.849999999999994</v>
      </c>
      <c r="N63" t="str" cm="1">
        <f t="array" ref="N63">_xlfn.IFS(I63="Rob","Robusta",I63="Exc","Excelsa",I63="Ara","Arabica",I63="Lib","Liberica")</f>
        <v>Robusta</v>
      </c>
      <c r="O63" t="str" cm="1">
        <f t="array" ref="O63">_xlfn.SWITCH($J63,"M","Medium","L","Light","D","Dark")</f>
        <v>Dark</v>
      </c>
      <c r="P63" t="str">
        <f>_xlfn.XLOOKUP(Table1[[#This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IF(_xlfn.XLOOKUP(C64,customers!$A$1:$A$1001,customers!$C$1:$C$1001,,0)=0,"Not _Provided",_xlfn.XLOOKUP(C64,customers!$A$1:$A$1001,customers!$C$1:$C$1001,,0))</f>
        <v>Not _Provided</v>
      </c>
      <c r="H64" s="2" t="str">
        <f>_xlfn.XLOOKUP(C64,customers!$A$1:$A$1001,customers!$G$1:$G$1001,,0)</f>
        <v>United States</v>
      </c>
      <c r="I64" t="str">
        <f>INDEX(products!$B$1:$B$49,MATCH($D64,products!$A$1:$A$49,0))</f>
        <v>Lib</v>
      </c>
      <c r="J64" t="str">
        <f>INDEX(products!$C$1:$C$49,MATCH($D64,products!$A$1:$A$49,0))</f>
        <v>L</v>
      </c>
      <c r="K64" s="4">
        <f>INDEX(products!$D$1:$D$49,MATCH($D64,products!$A$1:$A$49,0))</f>
        <v>0.2</v>
      </c>
      <c r="L64" s="5">
        <f>INDEX(products!$E$1:$E$49,MATCH($D64,products!$A$1:$A$49,0))</f>
        <v>4.7549999999999999</v>
      </c>
      <c r="M64" s="5">
        <f t="shared" si="0"/>
        <v>23.774999999999999</v>
      </c>
      <c r="N64" t="str" cm="1">
        <f t="array" ref="N64">_xlfn.IFS(I64="Rob","Robusta",I64="Exc","Excelsa",I64="Ara","Arabica",I64="Lib","Liberica")</f>
        <v>Liberica</v>
      </c>
      <c r="O64" t="str" cm="1">
        <f t="array" ref="O64">_xlfn.SWITCH($J64,"M","Medium","L","Light","D","Dark")</f>
        <v>Light</v>
      </c>
      <c r="P64" t="str">
        <f>_xlfn.XLOOKUP(Table1[[#This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IF(_xlfn.XLOOKUP(C65,customers!$A$1:$A$1001,customers!$C$1:$C$1001,,0)=0,"Not _Provided",_xlfn.XLOOKUP(C65,customers!$A$1:$A$1001,customers!$C$1:$C$1001,,0))</f>
        <v>adykes1r@eventbrite.com</v>
      </c>
      <c r="H65" s="2" t="str">
        <f>_xlfn.XLOOKUP(C65,customers!$A$1:$A$1001,customers!$G$1:$G$1001,,0)</f>
        <v>United States</v>
      </c>
      <c r="I65" t="str">
        <f>INDEX(products!$B$1:$B$49,MATCH($D65,products!$A$1:$A$49,0))</f>
        <v>Ara</v>
      </c>
      <c r="J65" t="str">
        <f>INDEX(products!$C$1:$C$49,MATCH($D65,products!$A$1:$A$49,0))</f>
        <v>M</v>
      </c>
      <c r="K65" s="4">
        <f>INDEX(products!$D$1:$D$49,MATCH($D65,products!$A$1:$A$49,0))</f>
        <v>0.5</v>
      </c>
      <c r="L65" s="5">
        <f>INDEX(products!$E$1:$E$49,MATCH($D65,products!$A$1:$A$49,0))</f>
        <v>6.75</v>
      </c>
      <c r="M65" s="5">
        <f t="shared" si="0"/>
        <v>6.75</v>
      </c>
      <c r="N65" t="str" cm="1">
        <f t="array" ref="N65">_xlfn.IFS(I65="Rob","Robusta",I65="Exc","Excelsa",I65="Ara","Arabica",I65="Lib","Liberica")</f>
        <v>Arabica</v>
      </c>
      <c r="O65" t="str" cm="1">
        <f t="array" ref="O65">_xlfn.SWITCH($J65,"M","Medium","L","Light","D","Dark")</f>
        <v>Medium</v>
      </c>
      <c r="P65" t="str">
        <f>_xlfn.XLOOKUP(Table1[[#This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IF(_xlfn.XLOOKUP(C66,customers!$A$1:$A$1001,customers!$C$1:$C$1001,,0)=0,"Not _Provided",_xlfn.XLOOKUP(C66,customers!$A$1:$A$1001,customers!$C$1:$C$1001,,0))</f>
        <v>Not _Provided</v>
      </c>
      <c r="H66" s="2" t="str">
        <f>_xlfn.XLOOKUP(C66,customers!$A$1:$A$1001,customers!$G$1:$G$1001,,0)</f>
        <v>United States</v>
      </c>
      <c r="I66" t="str">
        <f>INDEX(products!$B$1:$B$49,MATCH($D66,products!$A$1:$A$49,0))</f>
        <v>Rob</v>
      </c>
      <c r="J66" t="str">
        <f>INDEX(products!$C$1:$C$49,MATCH($D66,products!$A$1:$A$49,0))</f>
        <v>M</v>
      </c>
      <c r="K66" s="4">
        <f>INDEX(products!$D$1:$D$49,MATCH($D66,products!$A$1:$A$49,0))</f>
        <v>0.5</v>
      </c>
      <c r="L66" s="5">
        <f>INDEX(products!$E$1:$E$49,MATCH($D66,products!$A$1:$A$49,0))</f>
        <v>5.97</v>
      </c>
      <c r="M66" s="5">
        <f t="shared" si="0"/>
        <v>35.82</v>
      </c>
      <c r="N66" t="str" cm="1">
        <f t="array" ref="N66">_xlfn.IFS(I66="Rob","Robusta",I66="Exc","Excelsa",I66="Ara","Arabica",I66="Lib","Liberica")</f>
        <v>Robusta</v>
      </c>
      <c r="O66" t="str" cm="1">
        <f t="array" ref="O66">_xlfn.SWITCH($J66,"M","Medium","L","Light","D","Dark")</f>
        <v>Medium</v>
      </c>
      <c r="P66" t="str">
        <f>_xlfn.XLOOKUP(Table1[[#This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IF(_xlfn.XLOOKUP(C67,customers!$A$1:$A$1001,customers!$C$1:$C$1001,,0)=0,"Not _Provided",_xlfn.XLOOKUP(C67,customers!$A$1:$A$1001,customers!$C$1:$C$1001,,0))</f>
        <v>acockrem1t@engadget.com</v>
      </c>
      <c r="H67" s="2" t="str">
        <f>_xlfn.XLOOKUP(C67,customers!$A$1:$A$1001,customers!$G$1:$G$1001,,0)</f>
        <v>United States</v>
      </c>
      <c r="I67" t="str">
        <f>INDEX(products!$B$1:$B$49,MATCH($D67,products!$A$1:$A$49,0))</f>
        <v>Rob</v>
      </c>
      <c r="J67" t="str">
        <f>INDEX(products!$C$1:$C$49,MATCH($D67,products!$A$1:$A$49,0))</f>
        <v>D</v>
      </c>
      <c r="K67" s="4">
        <f>INDEX(products!$D$1:$D$49,MATCH($D67,products!$A$1:$A$49,0))</f>
        <v>2.5</v>
      </c>
      <c r="L67" s="5">
        <f>INDEX(products!$E$1:$E$49,MATCH($D67,products!$A$1:$A$49,0))</f>
        <v>20.584999999999997</v>
      </c>
      <c r="M67" s="5">
        <f t="shared" ref="M67:M130" si="1">E67*L67</f>
        <v>82.339999999999989</v>
      </c>
      <c r="N67" t="str" cm="1">
        <f t="array" ref="N67">_xlfn.IFS(I67="Rob","Robusta",I67="Exc","Excelsa",I67="Ara","Arabica",I67="Lib","Liberica")</f>
        <v>Robusta</v>
      </c>
      <c r="O67" t="str" cm="1">
        <f t="array" ref="O67">_xlfn.SWITCH($J67,"M","Medium","L","Light","D","Dark")</f>
        <v>Dark</v>
      </c>
      <c r="P67" t="str">
        <f>_xlfn.XLOOKUP(Table1[[#This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IF(_xlfn.XLOOKUP(C68,customers!$A$1:$A$1001,customers!$C$1:$C$1001,,0)=0,"Not _Provided",_xlfn.XLOOKUP(C68,customers!$A$1:$A$1001,customers!$C$1:$C$1001,,0))</f>
        <v>bumpleby1u@soundcloud.com</v>
      </c>
      <c r="H68" s="2" t="str">
        <f>_xlfn.XLOOKUP(C68,customers!$A$1:$A$1001,customers!$G$1:$G$1001,,0)</f>
        <v>United States</v>
      </c>
      <c r="I68" t="str">
        <f>INDEX(products!$B$1:$B$49,MATCH($D68,products!$A$1:$A$49,0))</f>
        <v>Rob</v>
      </c>
      <c r="J68" t="str">
        <f>INDEX(products!$C$1:$C$49,MATCH($D68,products!$A$1:$A$49,0))</f>
        <v>L</v>
      </c>
      <c r="K68" s="4">
        <f>INDEX(products!$D$1:$D$49,MATCH($D68,products!$A$1:$A$49,0))</f>
        <v>0.5</v>
      </c>
      <c r="L68" s="5">
        <f>INDEX(products!$E$1:$E$49,MATCH($D68,products!$A$1:$A$49,0))</f>
        <v>7.169999999999999</v>
      </c>
      <c r="M68" s="5">
        <f t="shared" si="1"/>
        <v>7.169999999999999</v>
      </c>
      <c r="N68" t="str" cm="1">
        <f t="array" ref="N68">_xlfn.IFS(I68="Rob","Robusta",I68="Exc","Excelsa",I68="Ara","Arabica",I68="Lib","Liberica")</f>
        <v>Robusta</v>
      </c>
      <c r="O68" t="str" cm="1">
        <f t="array" ref="O68">_xlfn.SWITCH($J68,"M","Medium","L","Light","D","Dark")</f>
        <v>Light</v>
      </c>
      <c r="P68" t="str">
        <f>_xlfn.XLOOKUP(Table1[[#This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IF(_xlfn.XLOOKUP(C69,customers!$A$1:$A$1001,customers!$C$1:$C$1001,,0)=0,"Not _Provided",_xlfn.XLOOKUP(C69,customers!$A$1:$A$1001,customers!$C$1:$C$1001,,0))</f>
        <v>nsaleway1v@dedecms.com</v>
      </c>
      <c r="H69" s="2" t="str">
        <f>_xlfn.XLOOKUP(C69,customers!$A$1:$A$1001,customers!$G$1:$G$1001,,0)</f>
        <v>United States</v>
      </c>
      <c r="I69" t="str">
        <f>INDEX(products!$B$1:$B$49,MATCH($D69,products!$A$1:$A$49,0))</f>
        <v>Lib</v>
      </c>
      <c r="J69" t="str">
        <f>INDEX(products!$C$1:$C$49,MATCH($D69,products!$A$1:$A$49,0))</f>
        <v>L</v>
      </c>
      <c r="K69" s="4">
        <f>INDEX(products!$D$1:$D$49,MATCH($D69,products!$A$1:$A$49,0))</f>
        <v>0.2</v>
      </c>
      <c r="L69" s="5">
        <f>INDEX(products!$E$1:$E$49,MATCH($D69,products!$A$1:$A$49,0))</f>
        <v>4.7549999999999999</v>
      </c>
      <c r="M69" s="5">
        <f t="shared" si="1"/>
        <v>9.51</v>
      </c>
      <c r="N69" t="str" cm="1">
        <f t="array" ref="N69">_xlfn.IFS(I69="Rob","Robusta",I69="Exc","Excelsa",I69="Ara","Arabica",I69="Lib","Liberica")</f>
        <v>Liberica</v>
      </c>
      <c r="O69" t="str" cm="1">
        <f t="array" ref="O69">_xlfn.SWITCH($J69,"M","Medium","L","Light","D","Dark")</f>
        <v>Light</v>
      </c>
      <c r="P69" t="str">
        <f>_xlfn.XLOOKUP(Table1[[#This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IF(_xlfn.XLOOKUP(C70,customers!$A$1:$A$1001,customers!$C$1:$C$1001,,0)=0,"Not _Provided",_xlfn.XLOOKUP(C70,customers!$A$1:$A$1001,customers!$C$1:$C$1001,,0))</f>
        <v>hgoulter1w@abc.net.au</v>
      </c>
      <c r="H70" s="2" t="str">
        <f>_xlfn.XLOOKUP(C70,customers!$A$1:$A$1001,customers!$G$1:$G$1001,,0)</f>
        <v>United States</v>
      </c>
      <c r="I70" t="str">
        <f>INDEX(products!$B$1:$B$49,MATCH($D70,products!$A$1:$A$49,0))</f>
        <v>Rob</v>
      </c>
      <c r="J70" t="str">
        <f>INDEX(products!$C$1:$C$49,MATCH($D70,products!$A$1:$A$49,0))</f>
        <v>M</v>
      </c>
      <c r="K70" s="4">
        <f>INDEX(products!$D$1:$D$49,MATCH($D70,products!$A$1:$A$49,0))</f>
        <v>0.2</v>
      </c>
      <c r="L70" s="5">
        <f>INDEX(products!$E$1:$E$49,MATCH($D70,products!$A$1:$A$49,0))</f>
        <v>2.9849999999999999</v>
      </c>
      <c r="M70" s="5">
        <f t="shared" si="1"/>
        <v>2.9849999999999999</v>
      </c>
      <c r="N70" t="str" cm="1">
        <f t="array" ref="N70">_xlfn.IFS(I70="Rob","Robusta",I70="Exc","Excelsa",I70="Ara","Arabica",I70="Lib","Liberica")</f>
        <v>Robusta</v>
      </c>
      <c r="O70" t="str" cm="1">
        <f t="array" ref="O70">_xlfn.SWITCH($J70,"M","Medium","L","Light","D","Dark")</f>
        <v>Medium</v>
      </c>
      <c r="P70" t="str">
        <f>_xlfn.XLOOKUP(Table1[[#This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IF(_xlfn.XLOOKUP(C71,customers!$A$1:$A$1001,customers!$C$1:$C$1001,,0)=0,"Not _Provided",_xlfn.XLOOKUP(C71,customers!$A$1:$A$1001,customers!$C$1:$C$1001,,0))</f>
        <v>grizzello1x@symantec.com</v>
      </c>
      <c r="H71" s="2" t="str">
        <f>_xlfn.XLOOKUP(C71,customers!$A$1:$A$1001,customers!$G$1:$G$1001,,0)</f>
        <v>United Kingdom</v>
      </c>
      <c r="I71" t="str">
        <f>INDEX(products!$B$1:$B$49,MATCH($D71,products!$A$1:$A$49,0))</f>
        <v>Rob</v>
      </c>
      <c r="J71" t="str">
        <f>INDEX(products!$C$1:$C$49,MATCH($D71,products!$A$1:$A$49,0))</f>
        <v>M</v>
      </c>
      <c r="K71" s="4">
        <f>INDEX(products!$D$1:$D$49,MATCH($D71,products!$A$1:$A$49,0))</f>
        <v>1</v>
      </c>
      <c r="L71" s="5">
        <f>INDEX(products!$E$1:$E$49,MATCH($D71,products!$A$1:$A$49,0))</f>
        <v>9.9499999999999993</v>
      </c>
      <c r="M71" s="5">
        <f t="shared" si="1"/>
        <v>59.699999999999996</v>
      </c>
      <c r="N71" t="str" cm="1">
        <f t="array" ref="N71">_xlfn.IFS(I71="Rob","Robusta",I71="Exc","Excelsa",I71="Ara","Arabica",I71="Lib","Liberica")</f>
        <v>Robusta</v>
      </c>
      <c r="O71" t="str" cm="1">
        <f t="array" ref="O71">_xlfn.SWITCH($J71,"M","Medium","L","Light","D","Dark")</f>
        <v>Medium</v>
      </c>
      <c r="P71" t="str">
        <f>_xlfn.XLOOKUP(Table1[[#This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IF(_xlfn.XLOOKUP(C72,customers!$A$1:$A$1001,customers!$C$1:$C$1001,,0)=0,"Not _Provided",_xlfn.XLOOKUP(C72,customers!$A$1:$A$1001,customers!$C$1:$C$1001,,0))</f>
        <v>slist1y@mapquest.com</v>
      </c>
      <c r="H72" s="2" t="str">
        <f>_xlfn.XLOOKUP(C72,customers!$A$1:$A$1001,customers!$G$1:$G$1001,,0)</f>
        <v>United States</v>
      </c>
      <c r="I72" t="str">
        <f>INDEX(products!$B$1:$B$49,MATCH($D72,products!$A$1:$A$49,0))</f>
        <v>Exc</v>
      </c>
      <c r="J72" t="str">
        <f>INDEX(products!$C$1:$C$49,MATCH($D72,products!$A$1:$A$49,0))</f>
        <v>L</v>
      </c>
      <c r="K72" s="4">
        <f>INDEX(products!$D$1:$D$49,MATCH($D72,products!$A$1:$A$49,0))</f>
        <v>2.5</v>
      </c>
      <c r="L72" s="5">
        <f>INDEX(products!$E$1:$E$49,MATCH($D72,products!$A$1:$A$49,0))</f>
        <v>34.154999999999994</v>
      </c>
      <c r="M72" s="5">
        <f t="shared" si="1"/>
        <v>136.61999999999998</v>
      </c>
      <c r="N72" t="str" cm="1">
        <f t="array" ref="N72">_xlfn.IFS(I72="Rob","Robusta",I72="Exc","Excelsa",I72="Ara","Arabica",I72="Lib","Liberica")</f>
        <v>Excelsa</v>
      </c>
      <c r="O72" t="str" cm="1">
        <f t="array" ref="O72">_xlfn.SWITCH($J72,"M","Medium","L","Light","D","Dark")</f>
        <v>Light</v>
      </c>
      <c r="P72" t="str">
        <f>_xlfn.XLOOKUP(Table1[[#This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IF(_xlfn.XLOOKUP(C73,customers!$A$1:$A$1001,customers!$C$1:$C$1001,,0)=0,"Not _Provided",_xlfn.XLOOKUP(C73,customers!$A$1:$A$1001,customers!$C$1:$C$1001,,0))</f>
        <v>sedmondson1z@theguardian.com</v>
      </c>
      <c r="H73" s="2" t="str">
        <f>_xlfn.XLOOKUP(C73,customers!$A$1:$A$1001,customers!$G$1:$G$1001,,0)</f>
        <v>Ireland</v>
      </c>
      <c r="I73" t="str">
        <f>INDEX(products!$B$1:$B$49,MATCH($D73,products!$A$1:$A$49,0))</f>
        <v>Lib</v>
      </c>
      <c r="J73" t="str">
        <f>INDEX(products!$C$1:$C$49,MATCH($D73,products!$A$1:$A$49,0))</f>
        <v>L</v>
      </c>
      <c r="K73" s="4">
        <f>INDEX(products!$D$1:$D$49,MATCH($D73,products!$A$1:$A$49,0))</f>
        <v>0.2</v>
      </c>
      <c r="L73" s="5">
        <f>INDEX(products!$E$1:$E$49,MATCH($D73,products!$A$1:$A$49,0))</f>
        <v>4.7549999999999999</v>
      </c>
      <c r="M73" s="5">
        <f t="shared" si="1"/>
        <v>9.51</v>
      </c>
      <c r="N73" t="str" cm="1">
        <f t="array" ref="N73">_xlfn.IFS(I73="Rob","Robusta",I73="Exc","Excelsa",I73="Ara","Arabica",I73="Lib","Liberica")</f>
        <v>Liberica</v>
      </c>
      <c r="O73" t="str" cm="1">
        <f t="array" ref="O73">_xlfn.SWITCH($J73,"M","Medium","L","Light","D","Dark")</f>
        <v>Light</v>
      </c>
      <c r="P73" t="str">
        <f>_xlfn.XLOOKUP(Table1[[#This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IF(_xlfn.XLOOKUP(C74,customers!$A$1:$A$1001,customers!$C$1:$C$1001,,0)=0,"Not _Provided",_xlfn.XLOOKUP(C74,customers!$A$1:$A$1001,customers!$C$1:$C$1001,,0))</f>
        <v>Not _Provided</v>
      </c>
      <c r="H74" s="2" t="str">
        <f>_xlfn.XLOOKUP(C74,customers!$A$1:$A$1001,customers!$G$1:$G$1001,,0)</f>
        <v>United States</v>
      </c>
      <c r="I74" t="str">
        <f>INDEX(products!$B$1:$B$49,MATCH($D74,products!$A$1:$A$49,0))</f>
        <v>Ara</v>
      </c>
      <c r="J74" t="str">
        <f>INDEX(products!$C$1:$C$49,MATCH($D74,products!$A$1:$A$49,0))</f>
        <v>M</v>
      </c>
      <c r="K74" s="4">
        <f>INDEX(products!$D$1:$D$49,MATCH($D74,products!$A$1:$A$49,0))</f>
        <v>2.5</v>
      </c>
      <c r="L74" s="5">
        <f>INDEX(products!$E$1:$E$49,MATCH($D74,products!$A$1:$A$49,0))</f>
        <v>25.874999999999996</v>
      </c>
      <c r="M74" s="5">
        <f t="shared" si="1"/>
        <v>77.624999999999986</v>
      </c>
      <c r="N74" t="str" cm="1">
        <f t="array" ref="N74">_xlfn.IFS(I74="Rob","Robusta",I74="Exc","Excelsa",I74="Ara","Arabica",I74="Lib","Liberica")</f>
        <v>Arabica</v>
      </c>
      <c r="O74" t="str" cm="1">
        <f t="array" ref="O74">_xlfn.SWITCH($J74,"M","Medium","L","Light","D","Dark")</f>
        <v>Medium</v>
      </c>
      <c r="P74" t="str">
        <f>_xlfn.XLOOKUP(Table1[[#This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IF(_xlfn.XLOOKUP(C75,customers!$A$1:$A$1001,customers!$C$1:$C$1001,,0)=0,"Not _Provided",_xlfn.XLOOKUP(C75,customers!$A$1:$A$1001,customers!$C$1:$C$1001,,0))</f>
        <v>Not _Provided</v>
      </c>
      <c r="H75" s="2" t="str">
        <f>_xlfn.XLOOKUP(C75,customers!$A$1:$A$1001,customers!$G$1:$G$1001,,0)</f>
        <v>United States</v>
      </c>
      <c r="I75" t="str">
        <f>INDEX(products!$B$1:$B$49,MATCH($D75,products!$A$1:$A$49,0))</f>
        <v>Lib</v>
      </c>
      <c r="J75" t="str">
        <f>INDEX(products!$C$1:$C$49,MATCH($D75,products!$A$1:$A$49,0))</f>
        <v>M</v>
      </c>
      <c r="K75" s="4">
        <f>INDEX(products!$D$1:$D$49,MATCH($D75,products!$A$1:$A$49,0))</f>
        <v>0.2</v>
      </c>
      <c r="L75" s="5">
        <f>INDEX(products!$E$1:$E$49,MATCH($D75,products!$A$1:$A$49,0))</f>
        <v>4.3650000000000002</v>
      </c>
      <c r="M75" s="5">
        <f t="shared" si="1"/>
        <v>21.825000000000003</v>
      </c>
      <c r="N75" t="str" cm="1">
        <f t="array" ref="N75">_xlfn.IFS(I75="Rob","Robusta",I75="Exc","Excelsa",I75="Ara","Arabica",I75="Lib","Liberica")</f>
        <v>Liberica</v>
      </c>
      <c r="O75" t="str" cm="1">
        <f t="array" ref="O75">_xlfn.SWITCH($J75,"M","Medium","L","Light","D","Dark")</f>
        <v>Medium</v>
      </c>
      <c r="P75" t="str">
        <f>_xlfn.XLOOKUP(Table1[[#This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IF(_xlfn.XLOOKUP(C76,customers!$A$1:$A$1001,customers!$C$1:$C$1001,,0)=0,"Not _Provided",_xlfn.XLOOKUP(C76,customers!$A$1:$A$1001,customers!$C$1:$C$1001,,0))</f>
        <v>jrangall22@newsvine.com</v>
      </c>
      <c r="H76" s="2" t="str">
        <f>_xlfn.XLOOKUP(C76,customers!$A$1:$A$1001,customers!$G$1:$G$1001,,0)</f>
        <v>United States</v>
      </c>
      <c r="I76" t="str">
        <f>INDEX(products!$B$1:$B$49,MATCH($D76,products!$A$1:$A$49,0))</f>
        <v>Exc</v>
      </c>
      <c r="J76" t="str">
        <f>INDEX(products!$C$1:$C$49,MATCH($D76,products!$A$1:$A$49,0))</f>
        <v>L</v>
      </c>
      <c r="K76" s="4">
        <f>INDEX(products!$D$1:$D$49,MATCH($D76,products!$A$1:$A$49,0))</f>
        <v>0.5</v>
      </c>
      <c r="L76" s="5">
        <f>INDEX(products!$E$1:$E$49,MATCH($D76,products!$A$1:$A$49,0))</f>
        <v>8.91</v>
      </c>
      <c r="M76" s="5">
        <f t="shared" si="1"/>
        <v>17.82</v>
      </c>
      <c r="N76" t="str" cm="1">
        <f t="array" ref="N76">_xlfn.IFS(I76="Rob","Robusta",I76="Exc","Excelsa",I76="Ara","Arabica",I76="Lib","Liberica")</f>
        <v>Excelsa</v>
      </c>
      <c r="O76" t="str" cm="1">
        <f t="array" ref="O76">_xlfn.SWITCH($J76,"M","Medium","L","Light","D","Dark")</f>
        <v>Light</v>
      </c>
      <c r="P76" t="str">
        <f>_xlfn.XLOOKUP(Table1[[#This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IF(_xlfn.XLOOKUP(C77,customers!$A$1:$A$1001,customers!$C$1:$C$1001,,0)=0,"Not _Provided",_xlfn.XLOOKUP(C77,customers!$A$1:$A$1001,customers!$C$1:$C$1001,,0))</f>
        <v>kboorn23@ezinearticles.com</v>
      </c>
      <c r="H77" s="2" t="str">
        <f>_xlfn.XLOOKUP(C77,customers!$A$1:$A$1001,customers!$G$1:$G$1001,,0)</f>
        <v>Ireland</v>
      </c>
      <c r="I77" t="str">
        <f>INDEX(products!$B$1:$B$49,MATCH($D77,products!$A$1:$A$49,0))</f>
        <v>Rob</v>
      </c>
      <c r="J77" t="str">
        <f>INDEX(products!$C$1:$C$49,MATCH($D77,products!$A$1:$A$49,0))</f>
        <v>D</v>
      </c>
      <c r="K77" s="4">
        <f>INDEX(products!$D$1:$D$49,MATCH($D77,products!$A$1:$A$49,0))</f>
        <v>1</v>
      </c>
      <c r="L77" s="5">
        <f>INDEX(products!$E$1:$E$49,MATCH($D77,products!$A$1:$A$49,0))</f>
        <v>8.9499999999999993</v>
      </c>
      <c r="M77" s="5">
        <f t="shared" si="1"/>
        <v>53.699999999999996</v>
      </c>
      <c r="N77" t="str" cm="1">
        <f t="array" ref="N77">_xlfn.IFS(I77="Rob","Robusta",I77="Exc","Excelsa",I77="Ara","Arabica",I77="Lib","Liberica")</f>
        <v>Robusta</v>
      </c>
      <c r="O77" t="str" cm="1">
        <f t="array" ref="O77">_xlfn.SWITCH($J77,"M","Medium","L","Light","D","Dark")</f>
        <v>Dark</v>
      </c>
      <c r="P77" t="str">
        <f>_xlfn.XLOOKUP(Table1[[#This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IF(_xlfn.XLOOKUP(C78,customers!$A$1:$A$1001,customers!$C$1:$C$1001,,0)=0,"Not _Provided",_xlfn.XLOOKUP(C78,customers!$A$1:$A$1001,customers!$C$1:$C$1001,,0))</f>
        <v>Not _Provided</v>
      </c>
      <c r="H78" s="2" t="str">
        <f>_xlfn.XLOOKUP(C78,customers!$A$1:$A$1001,customers!$G$1:$G$1001,,0)</f>
        <v>Ireland</v>
      </c>
      <c r="I78" t="str">
        <f>INDEX(products!$B$1:$B$49,MATCH($D78,products!$A$1:$A$49,0))</f>
        <v>Rob</v>
      </c>
      <c r="J78" t="str">
        <f>INDEX(products!$C$1:$C$49,MATCH($D78,products!$A$1:$A$49,0))</f>
        <v>L</v>
      </c>
      <c r="K78" s="4">
        <f>INDEX(products!$D$1:$D$49,MATCH($D78,products!$A$1:$A$49,0))</f>
        <v>0.2</v>
      </c>
      <c r="L78" s="5">
        <f>INDEX(products!$E$1:$E$49,MATCH($D78,products!$A$1:$A$49,0))</f>
        <v>3.5849999999999995</v>
      </c>
      <c r="M78" s="5">
        <f t="shared" si="1"/>
        <v>3.5849999999999995</v>
      </c>
      <c r="N78" t="str" cm="1">
        <f t="array" ref="N78">_xlfn.IFS(I78="Rob","Robusta",I78="Exc","Excelsa",I78="Ara","Arabica",I78="Lib","Liberica")</f>
        <v>Robusta</v>
      </c>
      <c r="O78" t="str" cm="1">
        <f t="array" ref="O78">_xlfn.SWITCH($J78,"M","Medium","L","Light","D","Dark")</f>
        <v>Light</v>
      </c>
      <c r="P78" t="str">
        <f>_xlfn.XLOOKUP(Table1[[#This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IF(_xlfn.XLOOKUP(C79,customers!$A$1:$A$1001,customers!$C$1:$C$1001,,0)=0,"Not _Provided",_xlfn.XLOOKUP(C79,customers!$A$1:$A$1001,customers!$C$1:$C$1001,,0))</f>
        <v>celgey25@webs.com</v>
      </c>
      <c r="H79" s="2" t="str">
        <f>_xlfn.XLOOKUP(C79,customers!$A$1:$A$1001,customers!$G$1:$G$1001,,0)</f>
        <v>United States</v>
      </c>
      <c r="I79" t="str">
        <f>INDEX(products!$B$1:$B$49,MATCH($D79,products!$A$1:$A$49,0))</f>
        <v>Exc</v>
      </c>
      <c r="J79" t="str">
        <f>INDEX(products!$C$1:$C$49,MATCH($D79,products!$A$1:$A$49,0))</f>
        <v>D</v>
      </c>
      <c r="K79" s="4">
        <f>INDEX(products!$D$1:$D$49,MATCH($D79,products!$A$1:$A$49,0))</f>
        <v>0.2</v>
      </c>
      <c r="L79" s="5">
        <f>INDEX(products!$E$1:$E$49,MATCH($D79,products!$A$1:$A$49,0))</f>
        <v>3.645</v>
      </c>
      <c r="M79" s="5">
        <f t="shared" si="1"/>
        <v>7.29</v>
      </c>
      <c r="N79" t="str" cm="1">
        <f t="array" ref="N79">_xlfn.IFS(I79="Rob","Robusta",I79="Exc","Excelsa",I79="Ara","Arabica",I79="Lib","Liberica")</f>
        <v>Excelsa</v>
      </c>
      <c r="O79" t="str" cm="1">
        <f t="array" ref="O79">_xlfn.SWITCH($J79,"M","Medium","L","Light","D","Dark")</f>
        <v>Dark</v>
      </c>
      <c r="P79" t="str">
        <f>_xlfn.XLOOKUP(Table1[[#This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IF(_xlfn.XLOOKUP(C80,customers!$A$1:$A$1001,customers!$C$1:$C$1001,,0)=0,"Not _Provided",_xlfn.XLOOKUP(C80,customers!$A$1:$A$1001,customers!$C$1:$C$1001,,0))</f>
        <v>lmizzi26@rakuten.co.jp</v>
      </c>
      <c r="H80" s="2" t="str">
        <f>_xlfn.XLOOKUP(C80,customers!$A$1:$A$1001,customers!$G$1:$G$1001,,0)</f>
        <v>United States</v>
      </c>
      <c r="I80" t="str">
        <f>INDEX(products!$B$1:$B$49,MATCH($D80,products!$A$1:$A$49,0))</f>
        <v>Ara</v>
      </c>
      <c r="J80" t="str">
        <f>INDEX(products!$C$1:$C$49,MATCH($D80,products!$A$1:$A$49,0))</f>
        <v>M</v>
      </c>
      <c r="K80" s="4">
        <f>INDEX(products!$D$1:$D$49,MATCH($D80,products!$A$1:$A$49,0))</f>
        <v>0.5</v>
      </c>
      <c r="L80" s="5">
        <f>INDEX(products!$E$1:$E$49,MATCH($D80,products!$A$1:$A$49,0))</f>
        <v>6.75</v>
      </c>
      <c r="M80" s="5">
        <f t="shared" si="1"/>
        <v>40.5</v>
      </c>
      <c r="N80" t="str" cm="1">
        <f t="array" ref="N80">_xlfn.IFS(I80="Rob","Robusta",I80="Exc","Excelsa",I80="Ara","Arabica",I80="Lib","Liberica")</f>
        <v>Arabica</v>
      </c>
      <c r="O80" t="str" cm="1">
        <f t="array" ref="O80">_xlfn.SWITCH($J80,"M","Medium","L","Light","D","Dark")</f>
        <v>Medium</v>
      </c>
      <c r="P80" t="str">
        <f>_xlfn.XLOOKUP(Table1[[#This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IF(_xlfn.XLOOKUP(C81,customers!$A$1:$A$1001,customers!$C$1:$C$1001,,0)=0,"Not _Provided",_xlfn.XLOOKUP(C81,customers!$A$1:$A$1001,customers!$C$1:$C$1001,,0))</f>
        <v>cgiacomazzo27@jigsy.com</v>
      </c>
      <c r="H81" s="2" t="str">
        <f>_xlfn.XLOOKUP(C81,customers!$A$1:$A$1001,customers!$G$1:$G$1001,,0)</f>
        <v>United States</v>
      </c>
      <c r="I81" t="str">
        <f>INDEX(products!$B$1:$B$49,MATCH($D81,products!$A$1:$A$49,0))</f>
        <v>Rob</v>
      </c>
      <c r="J81" t="str">
        <f>INDEX(products!$C$1:$C$49,MATCH($D81,products!$A$1:$A$49,0))</f>
        <v>L</v>
      </c>
      <c r="K81" s="4">
        <f>INDEX(products!$D$1:$D$49,MATCH($D81,products!$A$1:$A$49,0))</f>
        <v>1</v>
      </c>
      <c r="L81" s="5">
        <f>INDEX(products!$E$1:$E$49,MATCH($D81,products!$A$1:$A$49,0))</f>
        <v>11.95</v>
      </c>
      <c r="M81" s="5">
        <f t="shared" si="1"/>
        <v>47.8</v>
      </c>
      <c r="N81" t="str" cm="1">
        <f t="array" ref="N81">_xlfn.IFS(I81="Rob","Robusta",I81="Exc","Excelsa",I81="Ara","Arabica",I81="Lib","Liberica")</f>
        <v>Robusta</v>
      </c>
      <c r="O81" t="str" cm="1">
        <f t="array" ref="O81">_xlfn.SWITCH($J81,"M","Medium","L","Light","D","Dark")</f>
        <v>Light</v>
      </c>
      <c r="P81" t="str">
        <f>_xlfn.XLOOKUP(Table1[[#This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IF(_xlfn.XLOOKUP(C82,customers!$A$1:$A$1001,customers!$C$1:$C$1001,,0)=0,"Not _Provided",_xlfn.XLOOKUP(C82,customers!$A$1:$A$1001,customers!$C$1:$C$1001,,0))</f>
        <v>aarnow28@arizona.edu</v>
      </c>
      <c r="H82" s="2" t="str">
        <f>_xlfn.XLOOKUP(C82,customers!$A$1:$A$1001,customers!$G$1:$G$1001,,0)</f>
        <v>United States</v>
      </c>
      <c r="I82" t="str">
        <f>INDEX(products!$B$1:$B$49,MATCH($D82,products!$A$1:$A$49,0))</f>
        <v>Ara</v>
      </c>
      <c r="J82" t="str">
        <f>INDEX(products!$C$1:$C$49,MATCH($D82,products!$A$1:$A$49,0))</f>
        <v>L</v>
      </c>
      <c r="K82" s="4">
        <f>INDEX(products!$D$1:$D$49,MATCH($D82,products!$A$1:$A$49,0))</f>
        <v>0.5</v>
      </c>
      <c r="L82" s="5">
        <f>INDEX(products!$E$1:$E$49,MATCH($D82,products!$A$1:$A$49,0))</f>
        <v>7.77</v>
      </c>
      <c r="M82" s="5">
        <f t="shared" si="1"/>
        <v>38.849999999999994</v>
      </c>
      <c r="N82" t="str" cm="1">
        <f t="array" ref="N82">_xlfn.IFS(I82="Rob","Robusta",I82="Exc","Excelsa",I82="Ara","Arabica",I82="Lib","Liberica")</f>
        <v>Arabica</v>
      </c>
      <c r="O82" t="str" cm="1">
        <f t="array" ref="O82">_xlfn.SWITCH($J82,"M","Medium","L","Light","D","Dark")</f>
        <v>Light</v>
      </c>
      <c r="P82" t="str">
        <f>_xlfn.XLOOKUP(Table1[[#This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IF(_xlfn.XLOOKUP(C83,customers!$A$1:$A$1001,customers!$C$1:$C$1001,,0)=0,"Not _Provided",_xlfn.XLOOKUP(C83,customers!$A$1:$A$1001,customers!$C$1:$C$1001,,0))</f>
        <v>syann29@senate.gov</v>
      </c>
      <c r="H83" s="2" t="str">
        <f>_xlfn.XLOOKUP(C83,customers!$A$1:$A$1001,customers!$G$1:$G$1001,,0)</f>
        <v>United States</v>
      </c>
      <c r="I83" t="str">
        <f>INDEX(products!$B$1:$B$49,MATCH($D83,products!$A$1:$A$49,0))</f>
        <v>Lib</v>
      </c>
      <c r="J83" t="str">
        <f>INDEX(products!$C$1:$C$49,MATCH($D83,products!$A$1:$A$49,0))</f>
        <v>L</v>
      </c>
      <c r="K83" s="4">
        <f>INDEX(products!$D$1:$D$49,MATCH($D83,products!$A$1:$A$49,0))</f>
        <v>2.5</v>
      </c>
      <c r="L83" s="5">
        <f>INDEX(products!$E$1:$E$49,MATCH($D83,products!$A$1:$A$49,0))</f>
        <v>36.454999999999998</v>
      </c>
      <c r="M83" s="5">
        <f t="shared" si="1"/>
        <v>109.36499999999999</v>
      </c>
      <c r="N83" t="str" cm="1">
        <f t="array" ref="N83">_xlfn.IFS(I83="Rob","Robusta",I83="Exc","Excelsa",I83="Ara","Arabica",I83="Lib","Liberica")</f>
        <v>Liberica</v>
      </c>
      <c r="O83" t="str" cm="1">
        <f t="array" ref="O83">_xlfn.SWITCH($J83,"M","Medium","L","Light","D","Dark")</f>
        <v>Light</v>
      </c>
      <c r="P83" t="str">
        <f>_xlfn.XLOOKUP(Table1[[#This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IF(_xlfn.XLOOKUP(C84,customers!$A$1:$A$1001,customers!$C$1:$C$1001,,0)=0,"Not _Provided",_xlfn.XLOOKUP(C84,customers!$A$1:$A$1001,customers!$C$1:$C$1001,,0))</f>
        <v>bnaulls2a@tiny.cc</v>
      </c>
      <c r="H84" s="2" t="str">
        <f>_xlfn.XLOOKUP(C84,customers!$A$1:$A$1001,customers!$G$1:$G$1001,,0)</f>
        <v>Ireland</v>
      </c>
      <c r="I84" t="str">
        <f>INDEX(products!$B$1:$B$49,MATCH($D84,products!$A$1:$A$49,0))</f>
        <v>Lib</v>
      </c>
      <c r="J84" t="str">
        <f>INDEX(products!$C$1:$C$49,MATCH($D84,products!$A$1:$A$49,0))</f>
        <v>M</v>
      </c>
      <c r="K84" s="4">
        <f>INDEX(products!$D$1:$D$49,MATCH($D84,products!$A$1:$A$49,0))</f>
        <v>2.5</v>
      </c>
      <c r="L84" s="5">
        <f>INDEX(products!$E$1:$E$49,MATCH($D84,products!$A$1:$A$49,0))</f>
        <v>33.464999999999996</v>
      </c>
      <c r="M84" s="5">
        <f t="shared" si="1"/>
        <v>100.39499999999998</v>
      </c>
      <c r="N84" t="str" cm="1">
        <f t="array" ref="N84">_xlfn.IFS(I84="Rob","Robusta",I84="Exc","Excelsa",I84="Ara","Arabica",I84="Lib","Liberica")</f>
        <v>Liberica</v>
      </c>
      <c r="O84" t="str" cm="1">
        <f t="array" ref="O84">_xlfn.SWITCH($J84,"M","Medium","L","Light","D","Dark")</f>
        <v>Medium</v>
      </c>
      <c r="P84" t="str">
        <f>_xlfn.XLOOKUP(Table1[[#This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IF(_xlfn.XLOOKUP(C85,customers!$A$1:$A$1001,customers!$C$1:$C$1001,,0)=0,"Not _Provided",_xlfn.XLOOKUP(C85,customers!$A$1:$A$1001,customers!$C$1:$C$1001,,0))</f>
        <v>Not _Provided</v>
      </c>
      <c r="H85" s="2" t="str">
        <f>_xlfn.XLOOKUP(C85,customers!$A$1:$A$1001,customers!$G$1:$G$1001,,0)</f>
        <v>United States</v>
      </c>
      <c r="I85" t="str">
        <f>INDEX(products!$B$1:$B$49,MATCH($D85,products!$A$1:$A$49,0))</f>
        <v>Rob</v>
      </c>
      <c r="J85" t="str">
        <f>INDEX(products!$C$1:$C$49,MATCH($D85,products!$A$1:$A$49,0))</f>
        <v>D</v>
      </c>
      <c r="K85" s="4">
        <f>INDEX(products!$D$1:$D$49,MATCH($D85,products!$A$1:$A$49,0))</f>
        <v>2.5</v>
      </c>
      <c r="L85" s="5">
        <f>INDEX(products!$E$1:$E$49,MATCH($D85,products!$A$1:$A$49,0))</f>
        <v>20.584999999999997</v>
      </c>
      <c r="M85" s="5">
        <f t="shared" si="1"/>
        <v>82.339999999999989</v>
      </c>
      <c r="N85" t="str" cm="1">
        <f t="array" ref="N85">_xlfn.IFS(I85="Rob","Robusta",I85="Exc","Excelsa",I85="Ara","Arabica",I85="Lib","Liberica")</f>
        <v>Robusta</v>
      </c>
      <c r="O85" t="str" cm="1">
        <f t="array" ref="O85">_xlfn.SWITCH($J85,"M","Medium","L","Light","D","Dark")</f>
        <v>Dark</v>
      </c>
      <c r="P85" t="str">
        <f>_xlfn.XLOOKUP(Table1[[#This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IF(_xlfn.XLOOKUP(C86,customers!$A$1:$A$1001,customers!$C$1:$C$1001,,0)=0,"Not _Provided",_xlfn.XLOOKUP(C86,customers!$A$1:$A$1001,customers!$C$1:$C$1001,,0))</f>
        <v>zsherewood2c@apache.org</v>
      </c>
      <c r="H86" s="2" t="str">
        <f>_xlfn.XLOOKUP(C86,customers!$A$1:$A$1001,customers!$G$1:$G$1001,,0)</f>
        <v>United States</v>
      </c>
      <c r="I86" t="str">
        <f>INDEX(products!$B$1:$B$49,MATCH($D86,products!$A$1:$A$49,0))</f>
        <v>Lib</v>
      </c>
      <c r="J86" t="str">
        <f>INDEX(products!$C$1:$C$49,MATCH($D86,products!$A$1:$A$49,0))</f>
        <v>L</v>
      </c>
      <c r="K86" s="4">
        <f>INDEX(products!$D$1:$D$49,MATCH($D86,products!$A$1:$A$49,0))</f>
        <v>0.5</v>
      </c>
      <c r="L86" s="5">
        <f>INDEX(products!$E$1:$E$49,MATCH($D86,products!$A$1:$A$49,0))</f>
        <v>9.51</v>
      </c>
      <c r="M86" s="5">
        <f t="shared" si="1"/>
        <v>9.51</v>
      </c>
      <c r="N86" t="str" cm="1">
        <f t="array" ref="N86">_xlfn.IFS(I86="Rob","Robusta",I86="Exc","Excelsa",I86="Ara","Arabica",I86="Lib","Liberica")</f>
        <v>Liberica</v>
      </c>
      <c r="O86" t="str" cm="1">
        <f t="array" ref="O86">_xlfn.SWITCH($J86,"M","Medium","L","Light","D","Dark")</f>
        <v>Light</v>
      </c>
      <c r="P86" t="str">
        <f>_xlfn.XLOOKUP(Table1[[#This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IF(_xlfn.XLOOKUP(C87,customers!$A$1:$A$1001,customers!$C$1:$C$1001,,0)=0,"Not _Provided",_xlfn.XLOOKUP(C87,customers!$A$1:$A$1001,customers!$C$1:$C$1001,,0))</f>
        <v>jdufaire2d@fc2.com</v>
      </c>
      <c r="H87" s="2" t="str">
        <f>_xlfn.XLOOKUP(C87,customers!$A$1:$A$1001,customers!$G$1:$G$1001,,0)</f>
        <v>United States</v>
      </c>
      <c r="I87" t="str">
        <f>INDEX(products!$B$1:$B$49,MATCH($D87,products!$A$1:$A$49,0))</f>
        <v>Ara</v>
      </c>
      <c r="J87" t="str">
        <f>INDEX(products!$C$1:$C$49,MATCH($D87,products!$A$1:$A$49,0))</f>
        <v>L</v>
      </c>
      <c r="K87" s="4">
        <f>INDEX(products!$D$1:$D$49,MATCH($D87,products!$A$1:$A$49,0))</f>
        <v>2.5</v>
      </c>
      <c r="L87" s="5">
        <f>INDEX(products!$E$1:$E$49,MATCH($D87,products!$A$1:$A$49,0))</f>
        <v>29.784999999999997</v>
      </c>
      <c r="M87" s="5">
        <f t="shared" si="1"/>
        <v>89.35499999999999</v>
      </c>
      <c r="N87" t="str" cm="1">
        <f t="array" ref="N87">_xlfn.IFS(I87="Rob","Robusta",I87="Exc","Excelsa",I87="Ara","Arabica",I87="Lib","Liberica")</f>
        <v>Arabica</v>
      </c>
      <c r="O87" t="str" cm="1">
        <f t="array" ref="O87">_xlfn.SWITCH($J87,"M","Medium","L","Light","D","Dark")</f>
        <v>Light</v>
      </c>
      <c r="P87" t="str">
        <f>_xlfn.XLOOKUP(Table1[[#This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IF(_xlfn.XLOOKUP(C88,customers!$A$1:$A$1001,customers!$C$1:$C$1001,,0)=0,"Not _Provided",_xlfn.XLOOKUP(C88,customers!$A$1:$A$1001,customers!$C$1:$C$1001,,0))</f>
        <v>jdufaire2d@fc2.com</v>
      </c>
      <c r="H88" s="2" t="str">
        <f>_xlfn.XLOOKUP(C88,customers!$A$1:$A$1001,customers!$G$1:$G$1001,,0)</f>
        <v>United States</v>
      </c>
      <c r="I88" t="str">
        <f>INDEX(products!$B$1:$B$49,MATCH($D88,products!$A$1:$A$49,0))</f>
        <v>Ara</v>
      </c>
      <c r="J88" t="str">
        <f>INDEX(products!$C$1:$C$49,MATCH($D88,products!$A$1:$A$49,0))</f>
        <v>D</v>
      </c>
      <c r="K88" s="4">
        <f>INDEX(products!$D$1:$D$49,MATCH($D88,products!$A$1:$A$49,0))</f>
        <v>0.2</v>
      </c>
      <c r="L88" s="5">
        <f>INDEX(products!$E$1:$E$49,MATCH($D88,products!$A$1:$A$49,0))</f>
        <v>2.9849999999999999</v>
      </c>
      <c r="M88" s="5">
        <f t="shared" si="1"/>
        <v>11.94</v>
      </c>
      <c r="N88" t="str" cm="1">
        <f t="array" ref="N88">_xlfn.IFS(I88="Rob","Robusta",I88="Exc","Excelsa",I88="Ara","Arabica",I88="Lib","Liberica")</f>
        <v>Arabica</v>
      </c>
      <c r="O88" t="str" cm="1">
        <f t="array" ref="O88">_xlfn.SWITCH($J88,"M","Medium","L","Light","D","Dark")</f>
        <v>Dark</v>
      </c>
      <c r="P88" t="str">
        <f>_xlfn.XLOOKUP(Table1[[#This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IF(_xlfn.XLOOKUP(C89,customers!$A$1:$A$1001,customers!$C$1:$C$1001,,0)=0,"Not _Provided",_xlfn.XLOOKUP(C89,customers!$A$1:$A$1001,customers!$C$1:$C$1001,,0))</f>
        <v>bkeaveney2f@netlog.com</v>
      </c>
      <c r="H89" s="2" t="str">
        <f>_xlfn.XLOOKUP(C89,customers!$A$1:$A$1001,customers!$G$1:$G$1001,,0)</f>
        <v>United States</v>
      </c>
      <c r="I89" t="str">
        <f>INDEX(products!$B$1:$B$49,MATCH($D89,products!$A$1:$A$49,0))</f>
        <v>Ara</v>
      </c>
      <c r="J89" t="str">
        <f>INDEX(products!$C$1:$C$49,MATCH($D89,products!$A$1:$A$49,0))</f>
        <v>M</v>
      </c>
      <c r="K89" s="4">
        <f>INDEX(products!$D$1:$D$49,MATCH($D89,products!$A$1:$A$49,0))</f>
        <v>1</v>
      </c>
      <c r="L89" s="5">
        <f>INDEX(products!$E$1:$E$49,MATCH($D89,products!$A$1:$A$49,0))</f>
        <v>11.25</v>
      </c>
      <c r="M89" s="5">
        <f t="shared" si="1"/>
        <v>33.75</v>
      </c>
      <c r="N89" t="str" cm="1">
        <f t="array" ref="N89">_xlfn.IFS(I89="Rob","Robusta",I89="Exc","Excelsa",I89="Ara","Arabica",I89="Lib","Liberica")</f>
        <v>Arabica</v>
      </c>
      <c r="O89" t="str" cm="1">
        <f t="array" ref="O89">_xlfn.SWITCH($J89,"M","Medium","L","Light","D","Dark")</f>
        <v>Medium</v>
      </c>
      <c r="P89" t="str">
        <f>_xlfn.XLOOKUP(Table1[[#This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IF(_xlfn.XLOOKUP(C90,customers!$A$1:$A$1001,customers!$C$1:$C$1001,,0)=0,"Not _Provided",_xlfn.XLOOKUP(C90,customers!$A$1:$A$1001,customers!$C$1:$C$1001,,0))</f>
        <v>egrise2g@cargocollective.com</v>
      </c>
      <c r="H90" s="2" t="str">
        <f>_xlfn.XLOOKUP(C90,customers!$A$1:$A$1001,customers!$G$1:$G$1001,,0)</f>
        <v>United States</v>
      </c>
      <c r="I90" t="str">
        <f>INDEX(products!$B$1:$B$49,MATCH($D90,products!$A$1:$A$49,0))</f>
        <v>Rob</v>
      </c>
      <c r="J90" t="str">
        <f>INDEX(products!$C$1:$C$49,MATCH($D90,products!$A$1:$A$49,0))</f>
        <v>L</v>
      </c>
      <c r="K90" s="4">
        <f>INDEX(products!$D$1:$D$49,MATCH($D90,products!$A$1:$A$49,0))</f>
        <v>1</v>
      </c>
      <c r="L90" s="5">
        <f>INDEX(products!$E$1:$E$49,MATCH($D90,products!$A$1:$A$49,0))</f>
        <v>11.95</v>
      </c>
      <c r="M90" s="5">
        <f t="shared" si="1"/>
        <v>35.849999999999994</v>
      </c>
      <c r="N90" t="str" cm="1">
        <f t="array" ref="N90">_xlfn.IFS(I90="Rob","Robusta",I90="Exc","Excelsa",I90="Ara","Arabica",I90="Lib","Liberica")</f>
        <v>Robusta</v>
      </c>
      <c r="O90" t="str" cm="1">
        <f t="array" ref="O90">_xlfn.SWITCH($J90,"M","Medium","L","Light","D","Dark")</f>
        <v>Light</v>
      </c>
      <c r="P90" t="str">
        <f>_xlfn.XLOOKUP(Table1[[#This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IF(_xlfn.XLOOKUP(C91,customers!$A$1:$A$1001,customers!$C$1:$C$1001,,0)=0,"Not _Provided",_xlfn.XLOOKUP(C91,customers!$A$1:$A$1001,customers!$C$1:$C$1001,,0))</f>
        <v>tgottelier2h@vistaprint.com</v>
      </c>
      <c r="H91" s="2" t="str">
        <f>_xlfn.XLOOKUP(C91,customers!$A$1:$A$1001,customers!$G$1:$G$1001,,0)</f>
        <v>United States</v>
      </c>
      <c r="I91" t="str">
        <f>INDEX(products!$B$1:$B$49,MATCH($D91,products!$A$1:$A$49,0))</f>
        <v>Ara</v>
      </c>
      <c r="J91" t="str">
        <f>INDEX(products!$C$1:$C$49,MATCH($D91,products!$A$1:$A$49,0))</f>
        <v>L</v>
      </c>
      <c r="K91" s="4">
        <f>INDEX(products!$D$1:$D$49,MATCH($D91,products!$A$1:$A$49,0))</f>
        <v>1</v>
      </c>
      <c r="L91" s="5">
        <f>INDEX(products!$E$1:$E$49,MATCH($D91,products!$A$1:$A$49,0))</f>
        <v>12.95</v>
      </c>
      <c r="M91" s="5">
        <f t="shared" si="1"/>
        <v>77.699999999999989</v>
      </c>
      <c r="N91" t="str" cm="1">
        <f t="array" ref="N91">_xlfn.IFS(I91="Rob","Robusta",I91="Exc","Excelsa",I91="Ara","Arabica",I91="Lib","Liberica")</f>
        <v>Arabica</v>
      </c>
      <c r="O91" t="str" cm="1">
        <f t="array" ref="O91">_xlfn.SWITCH($J91,"M","Medium","L","Light","D","Dark")</f>
        <v>Light</v>
      </c>
      <c r="P91" t="str">
        <f>_xlfn.XLOOKUP(Table1[[#This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IF(_xlfn.XLOOKUP(C92,customers!$A$1:$A$1001,customers!$C$1:$C$1001,,0)=0,"Not _Provided",_xlfn.XLOOKUP(C92,customers!$A$1:$A$1001,customers!$C$1:$C$1001,,0))</f>
        <v>Not _Provided</v>
      </c>
      <c r="H92" s="2" t="str">
        <f>_xlfn.XLOOKUP(C92,customers!$A$1:$A$1001,customers!$G$1:$G$1001,,0)</f>
        <v>Ireland</v>
      </c>
      <c r="I92" t="str">
        <f>INDEX(products!$B$1:$B$49,MATCH($D92,products!$A$1:$A$49,0))</f>
        <v>Ara</v>
      </c>
      <c r="J92" t="str">
        <f>INDEX(products!$C$1:$C$49,MATCH($D92,products!$A$1:$A$49,0))</f>
        <v>L</v>
      </c>
      <c r="K92" s="4">
        <f>INDEX(products!$D$1:$D$49,MATCH($D92,products!$A$1:$A$49,0))</f>
        <v>1</v>
      </c>
      <c r="L92" s="5">
        <f>INDEX(products!$E$1:$E$49,MATCH($D92,products!$A$1:$A$49,0))</f>
        <v>12.95</v>
      </c>
      <c r="M92" s="5">
        <f t="shared" si="1"/>
        <v>51.8</v>
      </c>
      <c r="N92" t="str" cm="1">
        <f t="array" ref="N92">_xlfn.IFS(I92="Rob","Robusta",I92="Exc","Excelsa",I92="Ara","Arabica",I92="Lib","Liberica")</f>
        <v>Arabica</v>
      </c>
      <c r="O92" t="str" cm="1">
        <f t="array" ref="O92">_xlfn.SWITCH($J92,"M","Medium","L","Light","D","Dark")</f>
        <v>Light</v>
      </c>
      <c r="P92" t="str">
        <f>_xlfn.XLOOKUP(Table1[[#This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IF(_xlfn.XLOOKUP(C93,customers!$A$1:$A$1001,customers!$C$1:$C$1001,,0)=0,"Not _Provided",_xlfn.XLOOKUP(C93,customers!$A$1:$A$1001,customers!$C$1:$C$1001,,0))</f>
        <v>agreenhead2j@dailymail.co.uk</v>
      </c>
      <c r="H93" s="2" t="str">
        <f>_xlfn.XLOOKUP(C93,customers!$A$1:$A$1001,customers!$G$1:$G$1001,,0)</f>
        <v>United States</v>
      </c>
      <c r="I93" t="str">
        <f>INDEX(products!$B$1:$B$49,MATCH($D93,products!$A$1:$A$49,0))</f>
        <v>Ara</v>
      </c>
      <c r="J93" t="str">
        <f>INDEX(products!$C$1:$C$49,MATCH($D93,products!$A$1:$A$49,0))</f>
        <v>M</v>
      </c>
      <c r="K93" s="4">
        <f>INDEX(products!$D$1:$D$49,MATCH($D93,products!$A$1:$A$49,0))</f>
        <v>2.5</v>
      </c>
      <c r="L93" s="5">
        <f>INDEX(products!$E$1:$E$49,MATCH($D93,products!$A$1:$A$49,0))</f>
        <v>25.874999999999996</v>
      </c>
      <c r="M93" s="5">
        <f t="shared" si="1"/>
        <v>103.49999999999999</v>
      </c>
      <c r="N93" t="str" cm="1">
        <f t="array" ref="N93">_xlfn.IFS(I93="Rob","Robusta",I93="Exc","Excelsa",I93="Ara","Arabica",I93="Lib","Liberica")</f>
        <v>Arabica</v>
      </c>
      <c r="O93" t="str" cm="1">
        <f t="array" ref="O93">_xlfn.SWITCH($J93,"M","Medium","L","Light","D","Dark")</f>
        <v>Medium</v>
      </c>
      <c r="P93" t="str">
        <f>_xlfn.XLOOKUP(Table1[[#This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IF(_xlfn.XLOOKUP(C94,customers!$A$1:$A$1001,customers!$C$1:$C$1001,,0)=0,"Not _Provided",_xlfn.XLOOKUP(C94,customers!$A$1:$A$1001,customers!$C$1:$C$1001,,0))</f>
        <v>Not _Provided</v>
      </c>
      <c r="H94" s="2" t="str">
        <f>_xlfn.XLOOKUP(C94,customers!$A$1:$A$1001,customers!$G$1:$G$1001,,0)</f>
        <v>United States</v>
      </c>
      <c r="I94" t="str">
        <f>INDEX(products!$B$1:$B$49,MATCH($D94,products!$A$1:$A$49,0))</f>
        <v>Exc</v>
      </c>
      <c r="J94" t="str">
        <f>INDEX(products!$C$1:$C$49,MATCH($D94,products!$A$1:$A$49,0))</f>
        <v>L</v>
      </c>
      <c r="K94" s="4">
        <f>INDEX(products!$D$1:$D$49,MATCH($D94,products!$A$1:$A$49,0))</f>
        <v>1</v>
      </c>
      <c r="L94" s="5">
        <f>INDEX(products!$E$1:$E$49,MATCH($D94,products!$A$1:$A$49,0))</f>
        <v>14.85</v>
      </c>
      <c r="M94" s="5">
        <f t="shared" si="1"/>
        <v>44.55</v>
      </c>
      <c r="N94" t="str" cm="1">
        <f t="array" ref="N94">_xlfn.IFS(I94="Rob","Robusta",I94="Exc","Excelsa",I94="Ara","Arabica",I94="Lib","Liberica")</f>
        <v>Excelsa</v>
      </c>
      <c r="O94" t="str" cm="1">
        <f t="array" ref="O94">_xlfn.SWITCH($J94,"M","Medium","L","Light","D","Dark")</f>
        <v>Light</v>
      </c>
      <c r="P94" t="str">
        <f>_xlfn.XLOOKUP(Table1[[#This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IF(_xlfn.XLOOKUP(C95,customers!$A$1:$A$1001,customers!$C$1:$C$1001,,0)=0,"Not _Provided",_xlfn.XLOOKUP(C95,customers!$A$1:$A$1001,customers!$C$1:$C$1001,,0))</f>
        <v>elangcaster2l@spotify.com</v>
      </c>
      <c r="H95" s="2" t="str">
        <f>_xlfn.XLOOKUP(C95,customers!$A$1:$A$1001,customers!$G$1:$G$1001,,0)</f>
        <v>United Kingdom</v>
      </c>
      <c r="I95" t="str">
        <f>INDEX(products!$B$1:$B$49,MATCH($D95,products!$A$1:$A$49,0))</f>
        <v>Exc</v>
      </c>
      <c r="J95" t="str">
        <f>INDEX(products!$C$1:$C$49,MATCH($D95,products!$A$1:$A$49,0))</f>
        <v>L</v>
      </c>
      <c r="K95" s="4">
        <f>INDEX(products!$D$1:$D$49,MATCH($D95,products!$A$1:$A$49,0))</f>
        <v>0.5</v>
      </c>
      <c r="L95" s="5">
        <f>INDEX(products!$E$1:$E$49,MATCH($D95,products!$A$1:$A$49,0))</f>
        <v>8.91</v>
      </c>
      <c r="M95" s="5">
        <f t="shared" si="1"/>
        <v>35.64</v>
      </c>
      <c r="N95" t="str" cm="1">
        <f t="array" ref="N95">_xlfn.IFS(I95="Rob","Robusta",I95="Exc","Excelsa",I95="Ara","Arabica",I95="Lib","Liberica")</f>
        <v>Excelsa</v>
      </c>
      <c r="O95" t="str" cm="1">
        <f t="array" ref="O95">_xlfn.SWITCH($J95,"M","Medium","L","Light","D","Dark")</f>
        <v>Light</v>
      </c>
      <c r="P95" t="str">
        <f>_xlfn.XLOOKUP(Table1[[#This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IF(_xlfn.XLOOKUP(C96,customers!$A$1:$A$1001,customers!$C$1:$C$1001,,0)=0,"Not _Provided",_xlfn.XLOOKUP(C96,customers!$A$1:$A$1001,customers!$C$1:$C$1001,,0))</f>
        <v>Not _Provided</v>
      </c>
      <c r="H96" s="2" t="str">
        <f>_xlfn.XLOOKUP(C96,customers!$A$1:$A$1001,customers!$G$1:$G$1001,,0)</f>
        <v>Ireland</v>
      </c>
      <c r="I96" t="str">
        <f>INDEX(products!$B$1:$B$49,MATCH($D96,products!$A$1:$A$49,0))</f>
        <v>Ara</v>
      </c>
      <c r="J96" t="str">
        <f>INDEX(products!$C$1:$C$49,MATCH($D96,products!$A$1:$A$49,0))</f>
        <v>D</v>
      </c>
      <c r="K96" s="4">
        <f>INDEX(products!$D$1:$D$49,MATCH($D96,products!$A$1:$A$49,0))</f>
        <v>0.2</v>
      </c>
      <c r="L96" s="5">
        <f>INDEX(products!$E$1:$E$49,MATCH($D96,products!$A$1:$A$49,0))</f>
        <v>2.9849999999999999</v>
      </c>
      <c r="M96" s="5">
        <f t="shared" si="1"/>
        <v>17.91</v>
      </c>
      <c r="N96" t="str" cm="1">
        <f t="array" ref="N96">_xlfn.IFS(I96="Rob","Robusta",I96="Exc","Excelsa",I96="Ara","Arabica",I96="Lib","Liberica")</f>
        <v>Arabica</v>
      </c>
      <c r="O96" t="str" cm="1">
        <f t="array" ref="O96">_xlfn.SWITCH($J96,"M","Medium","L","Light","D","Dark")</f>
        <v>Dark</v>
      </c>
      <c r="P96" t="str">
        <f>_xlfn.XLOOKUP(Table1[[#This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IF(_xlfn.XLOOKUP(C97,customers!$A$1:$A$1001,customers!$C$1:$C$1001,,0)=0,"Not _Provided",_xlfn.XLOOKUP(C97,customers!$A$1:$A$1001,customers!$C$1:$C$1001,,0))</f>
        <v>nmagauran2n@51.la</v>
      </c>
      <c r="H97" s="2" t="str">
        <f>_xlfn.XLOOKUP(C97,customers!$A$1:$A$1001,customers!$G$1:$G$1001,,0)</f>
        <v>United States</v>
      </c>
      <c r="I97" t="str">
        <f>INDEX(products!$B$1:$B$49,MATCH($D97,products!$A$1:$A$49,0))</f>
        <v>Ara</v>
      </c>
      <c r="J97" t="str">
        <f>INDEX(products!$C$1:$C$49,MATCH($D97,products!$A$1:$A$49,0))</f>
        <v>M</v>
      </c>
      <c r="K97" s="4">
        <f>INDEX(products!$D$1:$D$49,MATCH($D97,products!$A$1:$A$49,0))</f>
        <v>2.5</v>
      </c>
      <c r="L97" s="5">
        <f>INDEX(products!$E$1:$E$49,MATCH($D97,products!$A$1:$A$49,0))</f>
        <v>25.874999999999996</v>
      </c>
      <c r="M97" s="5">
        <f t="shared" si="1"/>
        <v>155.24999999999997</v>
      </c>
      <c r="N97" t="str" cm="1">
        <f t="array" ref="N97">_xlfn.IFS(I97="Rob","Robusta",I97="Exc","Excelsa",I97="Ara","Arabica",I97="Lib","Liberica")</f>
        <v>Arabica</v>
      </c>
      <c r="O97" t="str" cm="1">
        <f t="array" ref="O97">_xlfn.SWITCH($J97,"M","Medium","L","Light","D","Dark")</f>
        <v>Medium</v>
      </c>
      <c r="P97" t="str">
        <f>_xlfn.XLOOKUP(Table1[[#This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IF(_xlfn.XLOOKUP(C98,customers!$A$1:$A$1001,customers!$C$1:$C$1001,,0)=0,"Not _Provided",_xlfn.XLOOKUP(C98,customers!$A$1:$A$1001,customers!$C$1:$C$1001,,0))</f>
        <v>vkirdsch2o@google.fr</v>
      </c>
      <c r="H98" s="2" t="str">
        <f>_xlfn.XLOOKUP(C98,customers!$A$1:$A$1001,customers!$G$1:$G$1001,,0)</f>
        <v>United States</v>
      </c>
      <c r="I98" t="str">
        <f>INDEX(products!$B$1:$B$49,MATCH($D98,products!$A$1:$A$49,0))</f>
        <v>Ara</v>
      </c>
      <c r="J98" t="str">
        <f>INDEX(products!$C$1:$C$49,MATCH($D98,products!$A$1:$A$49,0))</f>
        <v>D</v>
      </c>
      <c r="K98" s="4">
        <f>INDEX(products!$D$1:$D$49,MATCH($D98,products!$A$1:$A$49,0))</f>
        <v>0.2</v>
      </c>
      <c r="L98" s="5">
        <f>INDEX(products!$E$1:$E$49,MATCH($D98,products!$A$1:$A$49,0))</f>
        <v>2.9849999999999999</v>
      </c>
      <c r="M98" s="5">
        <f t="shared" si="1"/>
        <v>5.97</v>
      </c>
      <c r="N98" t="str" cm="1">
        <f t="array" ref="N98">_xlfn.IFS(I98="Rob","Robusta",I98="Exc","Excelsa",I98="Ara","Arabica",I98="Lib","Liberica")</f>
        <v>Arabica</v>
      </c>
      <c r="O98" t="str" cm="1">
        <f t="array" ref="O98">_xlfn.SWITCH($J98,"M","Medium","L","Light","D","Dark")</f>
        <v>Dark</v>
      </c>
      <c r="P98" t="str">
        <f>_xlfn.XLOOKUP(Table1[[#This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IF(_xlfn.XLOOKUP(C99,customers!$A$1:$A$1001,customers!$C$1:$C$1001,,0)=0,"Not _Provided",_xlfn.XLOOKUP(C99,customers!$A$1:$A$1001,customers!$C$1:$C$1001,,0))</f>
        <v>iwhapple2p@com.com</v>
      </c>
      <c r="H99" s="2" t="str">
        <f>_xlfn.XLOOKUP(C99,customers!$A$1:$A$1001,customers!$G$1:$G$1001,,0)</f>
        <v>United States</v>
      </c>
      <c r="I99" t="str">
        <f>INDEX(products!$B$1:$B$49,MATCH($D99,products!$A$1:$A$49,0))</f>
        <v>Ara</v>
      </c>
      <c r="J99" t="str">
        <f>INDEX(products!$C$1:$C$49,MATCH($D99,products!$A$1:$A$49,0))</f>
        <v>M</v>
      </c>
      <c r="K99" s="4">
        <f>INDEX(products!$D$1:$D$49,MATCH($D99,products!$A$1:$A$49,0))</f>
        <v>0.5</v>
      </c>
      <c r="L99" s="5">
        <f>INDEX(products!$E$1:$E$49,MATCH($D99,products!$A$1:$A$49,0))</f>
        <v>6.75</v>
      </c>
      <c r="M99" s="5">
        <f t="shared" si="1"/>
        <v>13.5</v>
      </c>
      <c r="N99" t="str" cm="1">
        <f t="array" ref="N99">_xlfn.IFS(I99="Rob","Robusta",I99="Exc","Excelsa",I99="Ara","Arabica",I99="Lib","Liberica")</f>
        <v>Arabica</v>
      </c>
      <c r="O99" t="str" cm="1">
        <f t="array" ref="O99">_xlfn.SWITCH($J99,"M","Medium","L","Light","D","Dark")</f>
        <v>Medium</v>
      </c>
      <c r="P99" t="str">
        <f>_xlfn.XLOOKUP(Table1[[#This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IF(_xlfn.XLOOKUP(C100,customers!$A$1:$A$1001,customers!$C$1:$C$1001,,0)=0,"Not _Provided",_xlfn.XLOOKUP(C100,customers!$A$1:$A$1001,customers!$C$1:$C$1001,,0))</f>
        <v>Not _Provided</v>
      </c>
      <c r="H100" s="2" t="str">
        <f>_xlfn.XLOOKUP(C100,customers!$A$1:$A$1001,customers!$G$1:$G$1001,,0)</f>
        <v>Ireland</v>
      </c>
      <c r="I100" t="str">
        <f>INDEX(products!$B$1:$B$49,MATCH($D100,products!$A$1:$A$49,0))</f>
        <v>Ara</v>
      </c>
      <c r="J100" t="str">
        <f>INDEX(products!$C$1:$C$49,MATCH($D100,products!$A$1:$A$49,0))</f>
        <v>D</v>
      </c>
      <c r="K100" s="4">
        <f>INDEX(products!$D$1:$D$49,MATCH($D100,products!$A$1:$A$49,0))</f>
        <v>0.2</v>
      </c>
      <c r="L100" s="5">
        <f>INDEX(products!$E$1:$E$49,MATCH($D100,products!$A$1:$A$49,0))</f>
        <v>2.9849999999999999</v>
      </c>
      <c r="M100" s="5">
        <f t="shared" si="1"/>
        <v>2.9849999999999999</v>
      </c>
      <c r="N100" t="str" cm="1">
        <f t="array" ref="N100">_xlfn.IFS(I100="Rob","Robusta",I100="Exc","Excelsa",I100="Ara","Arabica",I100="Lib","Liberica")</f>
        <v>Arabica</v>
      </c>
      <c r="O100" t="str" cm="1">
        <f t="array" ref="O100">_xlfn.SWITCH($J100,"M","Medium","L","Light","D","Dark")</f>
        <v>Dark</v>
      </c>
      <c r="P100" t="str">
        <f>_xlfn.XLOOKUP(Table1[[#This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IF(_xlfn.XLOOKUP(C101,customers!$A$1:$A$1001,customers!$C$1:$C$1001,,0)=0,"Not _Provided",_xlfn.XLOOKUP(C101,customers!$A$1:$A$1001,customers!$C$1:$C$1001,,0))</f>
        <v>Not _Provided</v>
      </c>
      <c r="H101" s="2" t="str">
        <f>_xlfn.XLOOKUP(C101,customers!$A$1:$A$1001,customers!$G$1:$G$1001,,0)</f>
        <v>United States</v>
      </c>
      <c r="I101" t="str">
        <f>INDEX(products!$B$1:$B$49,MATCH($D101,products!$A$1:$A$49,0))</f>
        <v>Lib</v>
      </c>
      <c r="J101" t="str">
        <f>INDEX(products!$C$1:$C$49,MATCH($D101,products!$A$1:$A$49,0))</f>
        <v>M</v>
      </c>
      <c r="K101" s="4">
        <f>INDEX(products!$D$1:$D$49,MATCH($D101,products!$A$1:$A$49,0))</f>
        <v>0.2</v>
      </c>
      <c r="L101" s="5">
        <f>INDEX(products!$E$1:$E$49,MATCH($D101,products!$A$1:$A$49,0))</f>
        <v>4.3650000000000002</v>
      </c>
      <c r="M101" s="5">
        <f t="shared" si="1"/>
        <v>13.095000000000001</v>
      </c>
      <c r="N101" t="str" cm="1">
        <f t="array" ref="N101">_xlfn.IFS(I101="Rob","Robusta",I101="Exc","Excelsa",I101="Ara","Arabica",I101="Lib","Liberica")</f>
        <v>Liberica</v>
      </c>
      <c r="O101" t="str" cm="1">
        <f t="array" ref="O101">_xlfn.SWITCH($J101,"M","Medium","L","Light","D","Dark")</f>
        <v>Medium</v>
      </c>
      <c r="P101" t="str">
        <f>_xlfn.XLOOKUP(Table1[[#This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IF(_xlfn.XLOOKUP(C102,customers!$A$1:$A$1001,customers!$C$1:$C$1001,,0)=0,"Not _Provided",_xlfn.XLOOKUP(C102,customers!$A$1:$A$1001,customers!$C$1:$C$1001,,0))</f>
        <v>Not _Provided</v>
      </c>
      <c r="H102" s="2" t="str">
        <f>_xlfn.XLOOKUP(C102,customers!$A$1:$A$1001,customers!$G$1:$G$1001,,0)</f>
        <v>United States</v>
      </c>
      <c r="I102" t="str">
        <f>INDEX(products!$B$1:$B$49,MATCH($D102,products!$A$1:$A$49,0))</f>
        <v>Ara</v>
      </c>
      <c r="J102" t="str">
        <f>INDEX(products!$C$1:$C$49,MATCH($D102,products!$A$1:$A$49,0))</f>
        <v>L</v>
      </c>
      <c r="K102" s="4">
        <f>INDEX(products!$D$1:$D$49,MATCH($D102,products!$A$1:$A$49,0))</f>
        <v>0.2</v>
      </c>
      <c r="L102" s="5">
        <f>INDEX(products!$E$1:$E$49,MATCH($D102,products!$A$1:$A$49,0))</f>
        <v>3.8849999999999998</v>
      </c>
      <c r="M102" s="5">
        <f t="shared" si="1"/>
        <v>7.77</v>
      </c>
      <c r="N102" t="str" cm="1">
        <f t="array" ref="N102">_xlfn.IFS(I102="Rob","Robusta",I102="Exc","Excelsa",I102="Ara","Arabica",I102="Lib","Liberica")</f>
        <v>Arabica</v>
      </c>
      <c r="O102" t="str" cm="1">
        <f t="array" ref="O102">_xlfn.SWITCH($J102,"M","Medium","L","Light","D","Dark")</f>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IF(_xlfn.XLOOKUP(C103,customers!$A$1:$A$1001,customers!$C$1:$C$1001,,0)=0,"Not _Provided",_xlfn.XLOOKUP(C103,customers!$A$1:$A$1001,customers!$C$1:$C$1001,,0))</f>
        <v>nyoules2t@reference.com</v>
      </c>
      <c r="H103" s="2" t="str">
        <f>_xlfn.XLOOKUP(C103,customers!$A$1:$A$1001,customers!$G$1:$G$1001,,0)</f>
        <v>Ireland</v>
      </c>
      <c r="I103" t="str">
        <f>INDEX(products!$B$1:$B$49,MATCH($D103,products!$A$1:$A$49,0))</f>
        <v>Lib</v>
      </c>
      <c r="J103" t="str">
        <f>INDEX(products!$C$1:$C$49,MATCH($D103,products!$A$1:$A$49,0))</f>
        <v>D</v>
      </c>
      <c r="K103" s="4">
        <f>INDEX(products!$D$1:$D$49,MATCH($D103,products!$A$1:$A$49,0))</f>
        <v>2.5</v>
      </c>
      <c r="L103" s="5">
        <f>INDEX(products!$E$1:$E$49,MATCH($D103,products!$A$1:$A$49,0))</f>
        <v>29.784999999999997</v>
      </c>
      <c r="M103" s="5">
        <f t="shared" si="1"/>
        <v>148.92499999999998</v>
      </c>
      <c r="N103" t="str" cm="1">
        <f t="array" ref="N103">_xlfn.IFS(I103="Rob","Robusta",I103="Exc","Excelsa",I103="Ara","Arabica",I103="Lib","Liberica")</f>
        <v>Liberica</v>
      </c>
      <c r="O103" t="str" cm="1">
        <f t="array" ref="O103">_xlfn.SWITCH($J103,"M","Medium","L","Light","D","Dark")</f>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IF(_xlfn.XLOOKUP(C104,customers!$A$1:$A$1001,customers!$C$1:$C$1001,,0)=0,"Not _Provided",_xlfn.XLOOKUP(C104,customers!$A$1:$A$1001,customers!$C$1:$C$1001,,0))</f>
        <v>daizikovitz2u@answers.com</v>
      </c>
      <c r="H104" s="2" t="str">
        <f>_xlfn.XLOOKUP(C104,customers!$A$1:$A$1001,customers!$G$1:$G$1001,,0)</f>
        <v>Ireland</v>
      </c>
      <c r="I104" t="str">
        <f>INDEX(products!$B$1:$B$49,MATCH($D104,products!$A$1:$A$49,0))</f>
        <v>Lib</v>
      </c>
      <c r="J104" t="str">
        <f>INDEX(products!$C$1:$C$49,MATCH($D104,products!$A$1:$A$49,0))</f>
        <v>D</v>
      </c>
      <c r="K104" s="4">
        <f>INDEX(products!$D$1:$D$49,MATCH($D104,products!$A$1:$A$49,0))</f>
        <v>1</v>
      </c>
      <c r="L104" s="5">
        <f>INDEX(products!$E$1:$E$49,MATCH($D104,products!$A$1:$A$49,0))</f>
        <v>12.95</v>
      </c>
      <c r="M104" s="5">
        <f t="shared" si="1"/>
        <v>38.849999999999994</v>
      </c>
      <c r="N104" t="str" cm="1">
        <f t="array" ref="N104">_xlfn.IFS(I104="Rob","Robusta",I104="Exc","Excelsa",I104="Ara","Arabica",I104="Lib","Liberica")</f>
        <v>Liberica</v>
      </c>
      <c r="O104" t="str" cm="1">
        <f t="array" ref="O104">_xlfn.SWITCH($J104,"M","Medium","L","Light","D","Dark")</f>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IF(_xlfn.XLOOKUP(C105,customers!$A$1:$A$1001,customers!$C$1:$C$1001,,0)=0,"Not _Provided",_xlfn.XLOOKUP(C105,customers!$A$1:$A$1001,customers!$C$1:$C$1001,,0))</f>
        <v>brevel2v@fastcompany.com</v>
      </c>
      <c r="H105" s="2" t="str">
        <f>_xlfn.XLOOKUP(C105,customers!$A$1:$A$1001,customers!$G$1:$G$1001,,0)</f>
        <v>United States</v>
      </c>
      <c r="I105" t="str">
        <f>INDEX(products!$B$1:$B$49,MATCH($D105,products!$A$1:$A$49,0))</f>
        <v>Rob</v>
      </c>
      <c r="J105" t="str">
        <f>INDEX(products!$C$1:$C$49,MATCH($D105,products!$A$1:$A$49,0))</f>
        <v>M</v>
      </c>
      <c r="K105" s="4">
        <f>INDEX(products!$D$1:$D$49,MATCH($D105,products!$A$1:$A$49,0))</f>
        <v>0.2</v>
      </c>
      <c r="L105" s="5">
        <f>INDEX(products!$E$1:$E$49,MATCH($D105,products!$A$1:$A$49,0))</f>
        <v>2.9849999999999999</v>
      </c>
      <c r="M105" s="5">
        <f t="shared" si="1"/>
        <v>11.94</v>
      </c>
      <c r="N105" t="str" cm="1">
        <f t="array" ref="N105">_xlfn.IFS(I105="Rob","Robusta",I105="Exc","Excelsa",I105="Ara","Arabica",I105="Lib","Liberica")</f>
        <v>Robusta</v>
      </c>
      <c r="O105" t="str" cm="1">
        <f t="array" ref="O105">_xlfn.SWITCH($J105,"M","Medium","L","Light","D","Dark")</f>
        <v>Medium</v>
      </c>
      <c r="P105" t="str">
        <f>_xlfn.XLOOKUP(Table1[[#This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IF(_xlfn.XLOOKUP(C106,customers!$A$1:$A$1001,customers!$C$1:$C$1001,,0)=0,"Not _Provided",_xlfn.XLOOKUP(C106,customers!$A$1:$A$1001,customers!$C$1:$C$1001,,0))</f>
        <v>epriddis2w@nationalgeographic.com</v>
      </c>
      <c r="H106" s="2" t="str">
        <f>_xlfn.XLOOKUP(C106,customers!$A$1:$A$1001,customers!$G$1:$G$1001,,0)</f>
        <v>United States</v>
      </c>
      <c r="I106" t="str">
        <f>INDEX(products!$B$1:$B$49,MATCH($D106,products!$A$1:$A$49,0))</f>
        <v>Lib</v>
      </c>
      <c r="J106" t="str">
        <f>INDEX(products!$C$1:$C$49,MATCH($D106,products!$A$1:$A$49,0))</f>
        <v>M</v>
      </c>
      <c r="K106" s="4">
        <f>INDEX(products!$D$1:$D$49,MATCH($D106,products!$A$1:$A$49,0))</f>
        <v>1</v>
      </c>
      <c r="L106" s="5">
        <f>INDEX(products!$E$1:$E$49,MATCH($D106,products!$A$1:$A$49,0))</f>
        <v>14.55</v>
      </c>
      <c r="M106" s="5">
        <f t="shared" si="1"/>
        <v>87.300000000000011</v>
      </c>
      <c r="N106" t="str" cm="1">
        <f t="array" ref="N106">_xlfn.IFS(I106="Rob","Robusta",I106="Exc","Excelsa",I106="Ara","Arabica",I106="Lib","Liberica")</f>
        <v>Liberica</v>
      </c>
      <c r="O106" t="str" cm="1">
        <f t="array" ref="O106">_xlfn.SWITCH($J106,"M","Medium","L","Light","D","Dark")</f>
        <v>Medium</v>
      </c>
      <c r="P106" t="str">
        <f>_xlfn.XLOOKUP(Table1[[#This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IF(_xlfn.XLOOKUP(C107,customers!$A$1:$A$1001,customers!$C$1:$C$1001,,0)=0,"Not _Provided",_xlfn.XLOOKUP(C107,customers!$A$1:$A$1001,customers!$C$1:$C$1001,,0))</f>
        <v>qveel2x@jugem.jp</v>
      </c>
      <c r="H107" s="2" t="str">
        <f>_xlfn.XLOOKUP(C107,customers!$A$1:$A$1001,customers!$G$1:$G$1001,,0)</f>
        <v>United States</v>
      </c>
      <c r="I107" t="str">
        <f>INDEX(products!$B$1:$B$49,MATCH($D107,products!$A$1:$A$49,0))</f>
        <v>Ara</v>
      </c>
      <c r="J107" t="str">
        <f>INDEX(products!$C$1:$C$49,MATCH($D107,products!$A$1:$A$49,0))</f>
        <v>M</v>
      </c>
      <c r="K107" s="4">
        <f>INDEX(products!$D$1:$D$49,MATCH($D107,products!$A$1:$A$49,0))</f>
        <v>0.5</v>
      </c>
      <c r="L107" s="5">
        <f>INDEX(products!$E$1:$E$49,MATCH($D107,products!$A$1:$A$49,0))</f>
        <v>6.75</v>
      </c>
      <c r="M107" s="5">
        <f t="shared" si="1"/>
        <v>40.5</v>
      </c>
      <c r="N107" t="str" cm="1">
        <f t="array" ref="N107">_xlfn.IFS(I107="Rob","Robusta",I107="Exc","Excelsa",I107="Ara","Arabica",I107="Lib","Liberica")</f>
        <v>Arabica</v>
      </c>
      <c r="O107" t="str" cm="1">
        <f t="array" ref="O107">_xlfn.SWITCH($J107,"M","Medium","L","Light","D","Dark")</f>
        <v>Medium</v>
      </c>
      <c r="P107" t="str">
        <f>_xlfn.XLOOKUP(Table1[[#This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IF(_xlfn.XLOOKUP(C108,customers!$A$1:$A$1001,customers!$C$1:$C$1001,,0)=0,"Not _Provided",_xlfn.XLOOKUP(C108,customers!$A$1:$A$1001,customers!$C$1:$C$1001,,0))</f>
        <v>lconyers2y@twitter.com</v>
      </c>
      <c r="H108" s="2" t="str">
        <f>_xlfn.XLOOKUP(C108,customers!$A$1:$A$1001,customers!$G$1:$G$1001,,0)</f>
        <v>United States</v>
      </c>
      <c r="I108" t="str">
        <f>INDEX(products!$B$1:$B$49,MATCH($D108,products!$A$1:$A$49,0))</f>
        <v>Exc</v>
      </c>
      <c r="J108" t="str">
        <f>INDEX(products!$C$1:$C$49,MATCH($D108,products!$A$1:$A$49,0))</f>
        <v>D</v>
      </c>
      <c r="K108" s="4">
        <f>INDEX(products!$D$1:$D$49,MATCH($D108,products!$A$1:$A$49,0))</f>
        <v>1</v>
      </c>
      <c r="L108" s="5">
        <f>INDEX(products!$E$1:$E$49,MATCH($D108,products!$A$1:$A$49,0))</f>
        <v>12.15</v>
      </c>
      <c r="M108" s="5">
        <f t="shared" si="1"/>
        <v>24.3</v>
      </c>
      <c r="N108" t="str" cm="1">
        <f t="array" ref="N108">_xlfn.IFS(I108="Rob","Robusta",I108="Exc","Excelsa",I108="Ara","Arabica",I108="Lib","Liberica")</f>
        <v>Excelsa</v>
      </c>
      <c r="O108" t="str" cm="1">
        <f t="array" ref="O108">_xlfn.SWITCH($J108,"M","Medium","L","Light","D","Dark")</f>
        <v>Dark</v>
      </c>
      <c r="P108" t="str">
        <f>_xlfn.XLOOKUP(Table1[[#This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IF(_xlfn.XLOOKUP(C109,customers!$A$1:$A$1001,customers!$C$1:$C$1001,,0)=0,"Not _Provided",_xlfn.XLOOKUP(C109,customers!$A$1:$A$1001,customers!$C$1:$C$1001,,0))</f>
        <v>pwye2z@dagondesign.com</v>
      </c>
      <c r="H109" s="2" t="str">
        <f>_xlfn.XLOOKUP(C109,customers!$A$1:$A$1001,customers!$G$1:$G$1001,,0)</f>
        <v>United States</v>
      </c>
      <c r="I109" t="str">
        <f>INDEX(products!$B$1:$B$49,MATCH($D109,products!$A$1:$A$49,0))</f>
        <v>Rob</v>
      </c>
      <c r="J109" t="str">
        <f>INDEX(products!$C$1:$C$49,MATCH($D109,products!$A$1:$A$49,0))</f>
        <v>M</v>
      </c>
      <c r="K109" s="4">
        <f>INDEX(products!$D$1:$D$49,MATCH($D109,products!$A$1:$A$49,0))</f>
        <v>0.5</v>
      </c>
      <c r="L109" s="5">
        <f>INDEX(products!$E$1:$E$49,MATCH($D109,products!$A$1:$A$49,0))</f>
        <v>5.97</v>
      </c>
      <c r="M109" s="5">
        <f t="shared" si="1"/>
        <v>17.91</v>
      </c>
      <c r="N109" t="str" cm="1">
        <f t="array" ref="N109">_xlfn.IFS(I109="Rob","Robusta",I109="Exc","Excelsa",I109="Ara","Arabica",I109="Lib","Liberica")</f>
        <v>Robusta</v>
      </c>
      <c r="O109" t="str" cm="1">
        <f t="array" ref="O109">_xlfn.SWITCH($J109,"M","Medium","L","Light","D","Dark")</f>
        <v>Medium</v>
      </c>
      <c r="P109" t="str">
        <f>_xlfn.XLOOKUP(Table1[[#This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IF(_xlfn.XLOOKUP(C110,customers!$A$1:$A$1001,customers!$C$1:$C$1001,,0)=0,"Not _Provided",_xlfn.XLOOKUP(C110,customers!$A$1:$A$1001,customers!$C$1:$C$1001,,0))</f>
        <v>Not _Provided</v>
      </c>
      <c r="H110" s="2" t="str">
        <f>_xlfn.XLOOKUP(C110,customers!$A$1:$A$1001,customers!$G$1:$G$1001,,0)</f>
        <v>United States</v>
      </c>
      <c r="I110" t="str">
        <f>INDEX(products!$B$1:$B$49,MATCH($D110,products!$A$1:$A$49,0))</f>
        <v>Ara</v>
      </c>
      <c r="J110" t="str">
        <f>INDEX(products!$C$1:$C$49,MATCH($D110,products!$A$1:$A$49,0))</f>
        <v>M</v>
      </c>
      <c r="K110" s="4">
        <f>INDEX(products!$D$1:$D$49,MATCH($D110,products!$A$1:$A$49,0))</f>
        <v>0.5</v>
      </c>
      <c r="L110" s="5">
        <f>INDEX(products!$E$1:$E$49,MATCH($D110,products!$A$1:$A$49,0))</f>
        <v>6.75</v>
      </c>
      <c r="M110" s="5">
        <f t="shared" si="1"/>
        <v>27</v>
      </c>
      <c r="N110" t="str" cm="1">
        <f t="array" ref="N110">_xlfn.IFS(I110="Rob","Robusta",I110="Exc","Excelsa",I110="Ara","Arabica",I110="Lib","Liberica")</f>
        <v>Arabica</v>
      </c>
      <c r="O110" t="str" cm="1">
        <f t="array" ref="O110">_xlfn.SWITCH($J110,"M","Medium","L","Light","D","Dark")</f>
        <v>Medium</v>
      </c>
      <c r="P110" t="str">
        <f>_xlfn.XLOOKUP(Table1[[#This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IF(_xlfn.XLOOKUP(C111,customers!$A$1:$A$1001,customers!$C$1:$C$1001,,0)=0,"Not _Provided",_xlfn.XLOOKUP(C111,customers!$A$1:$A$1001,customers!$C$1:$C$1001,,0))</f>
        <v>tsheryn31@mtv.com</v>
      </c>
      <c r="H111" s="2" t="str">
        <f>_xlfn.XLOOKUP(C111,customers!$A$1:$A$1001,customers!$G$1:$G$1001,,0)</f>
        <v>United States</v>
      </c>
      <c r="I111" t="str">
        <f>INDEX(products!$B$1:$B$49,MATCH($D111,products!$A$1:$A$49,0))</f>
        <v>Lib</v>
      </c>
      <c r="J111" t="str">
        <f>INDEX(products!$C$1:$C$49,MATCH($D111,products!$A$1:$A$49,0))</f>
        <v>D</v>
      </c>
      <c r="K111" s="4">
        <f>INDEX(products!$D$1:$D$49,MATCH($D111,products!$A$1:$A$49,0))</f>
        <v>0.5</v>
      </c>
      <c r="L111" s="5">
        <f>INDEX(products!$E$1:$E$49,MATCH($D111,products!$A$1:$A$49,0))</f>
        <v>7.77</v>
      </c>
      <c r="M111" s="5">
        <f t="shared" si="1"/>
        <v>7.77</v>
      </c>
      <c r="N111" t="str" cm="1">
        <f t="array" ref="N111">_xlfn.IFS(I111="Rob","Robusta",I111="Exc","Excelsa",I111="Ara","Arabica",I111="Lib","Liberica")</f>
        <v>Liberica</v>
      </c>
      <c r="O111" t="str" cm="1">
        <f t="array" ref="O111">_xlfn.SWITCH($J111,"M","Medium","L","Light","D","Dark")</f>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IF(_xlfn.XLOOKUP(C112,customers!$A$1:$A$1001,customers!$C$1:$C$1001,,0)=0,"Not _Provided",_xlfn.XLOOKUP(C112,customers!$A$1:$A$1001,customers!$C$1:$C$1001,,0))</f>
        <v>mredgrave32@cargocollective.com</v>
      </c>
      <c r="H112" s="2" t="str">
        <f>_xlfn.XLOOKUP(C112,customers!$A$1:$A$1001,customers!$G$1:$G$1001,,0)</f>
        <v>United States</v>
      </c>
      <c r="I112" t="str">
        <f>INDEX(products!$B$1:$B$49,MATCH($D112,products!$A$1:$A$49,0))</f>
        <v>Exc</v>
      </c>
      <c r="J112" t="str">
        <f>INDEX(products!$C$1:$C$49,MATCH($D112,products!$A$1:$A$49,0))</f>
        <v>L</v>
      </c>
      <c r="K112" s="4">
        <f>INDEX(products!$D$1:$D$49,MATCH($D112,products!$A$1:$A$49,0))</f>
        <v>0.2</v>
      </c>
      <c r="L112" s="5">
        <f>INDEX(products!$E$1:$E$49,MATCH($D112,products!$A$1:$A$49,0))</f>
        <v>4.4550000000000001</v>
      </c>
      <c r="M112" s="5">
        <f t="shared" si="1"/>
        <v>13.365</v>
      </c>
      <c r="N112" t="str" cm="1">
        <f t="array" ref="N112">_xlfn.IFS(I112="Rob","Robusta",I112="Exc","Excelsa",I112="Ara","Arabica",I112="Lib","Liberica")</f>
        <v>Excelsa</v>
      </c>
      <c r="O112" t="str" cm="1">
        <f t="array" ref="O112">_xlfn.SWITCH($J112,"M","Medium","L","Light","D","Dark")</f>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IF(_xlfn.XLOOKUP(C113,customers!$A$1:$A$1001,customers!$C$1:$C$1001,,0)=0,"Not _Provided",_xlfn.XLOOKUP(C113,customers!$A$1:$A$1001,customers!$C$1:$C$1001,,0))</f>
        <v>bfominov33@yale.edu</v>
      </c>
      <c r="H113" s="2" t="str">
        <f>_xlfn.XLOOKUP(C113,customers!$A$1:$A$1001,customers!$G$1:$G$1001,,0)</f>
        <v>United States</v>
      </c>
      <c r="I113" t="str">
        <f>INDEX(products!$B$1:$B$49,MATCH($D113,products!$A$1:$A$49,0))</f>
        <v>Rob</v>
      </c>
      <c r="J113" t="str">
        <f>INDEX(products!$C$1:$C$49,MATCH($D113,products!$A$1:$A$49,0))</f>
        <v>D</v>
      </c>
      <c r="K113" s="4">
        <f>INDEX(products!$D$1:$D$49,MATCH($D113,products!$A$1:$A$49,0))</f>
        <v>0.5</v>
      </c>
      <c r="L113" s="5">
        <f>INDEX(products!$E$1:$E$49,MATCH($D113,products!$A$1:$A$49,0))</f>
        <v>5.3699999999999992</v>
      </c>
      <c r="M113" s="5">
        <f t="shared" si="1"/>
        <v>26.849999999999994</v>
      </c>
      <c r="N113" t="str" cm="1">
        <f t="array" ref="N113">_xlfn.IFS(I113="Rob","Robusta",I113="Exc","Excelsa",I113="Ara","Arabica",I113="Lib","Liberica")</f>
        <v>Robusta</v>
      </c>
      <c r="O113" t="str" cm="1">
        <f t="array" ref="O113">_xlfn.SWITCH($J113,"M","Medium","L","Light","D","Dark")</f>
        <v>Dark</v>
      </c>
      <c r="P113" t="str">
        <f>_xlfn.XLOOKUP(Table1[[#This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IF(_xlfn.XLOOKUP(C114,customers!$A$1:$A$1001,customers!$C$1:$C$1001,,0)=0,"Not _Provided",_xlfn.XLOOKUP(C114,customers!$A$1:$A$1001,customers!$C$1:$C$1001,,0))</f>
        <v>scritchlow34@un.org</v>
      </c>
      <c r="H114" s="2" t="str">
        <f>_xlfn.XLOOKUP(C114,customers!$A$1:$A$1001,customers!$G$1:$G$1001,,0)</f>
        <v>United States</v>
      </c>
      <c r="I114" t="str">
        <f>INDEX(products!$B$1:$B$49,MATCH($D114,products!$A$1:$A$49,0))</f>
        <v>Ara</v>
      </c>
      <c r="J114" t="str">
        <f>INDEX(products!$C$1:$C$49,MATCH($D114,products!$A$1:$A$49,0))</f>
        <v>M</v>
      </c>
      <c r="K114" s="4">
        <f>INDEX(products!$D$1:$D$49,MATCH($D114,products!$A$1:$A$49,0))</f>
        <v>1</v>
      </c>
      <c r="L114" s="5">
        <f>INDEX(products!$E$1:$E$49,MATCH($D114,products!$A$1:$A$49,0))</f>
        <v>11.25</v>
      </c>
      <c r="M114" s="5">
        <f t="shared" si="1"/>
        <v>11.25</v>
      </c>
      <c r="N114" t="str" cm="1">
        <f t="array" ref="N114">_xlfn.IFS(I114="Rob","Robusta",I114="Exc","Excelsa",I114="Ara","Arabica",I114="Lib","Liberica")</f>
        <v>Arabica</v>
      </c>
      <c r="O114" t="str" cm="1">
        <f t="array" ref="O114">_xlfn.SWITCH($J114,"M","Medium","L","Light","D","Dark")</f>
        <v>Medium</v>
      </c>
      <c r="P114" t="str">
        <f>_xlfn.XLOOKUP(Table1[[#This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IF(_xlfn.XLOOKUP(C115,customers!$A$1:$A$1001,customers!$C$1:$C$1001,,0)=0,"Not _Provided",_xlfn.XLOOKUP(C115,customers!$A$1:$A$1001,customers!$C$1:$C$1001,,0))</f>
        <v>msteptow35@earthlink.net</v>
      </c>
      <c r="H115" s="2" t="str">
        <f>_xlfn.XLOOKUP(C115,customers!$A$1:$A$1001,customers!$G$1:$G$1001,,0)</f>
        <v>Ireland</v>
      </c>
      <c r="I115" t="str">
        <f>INDEX(products!$B$1:$B$49,MATCH($D115,products!$A$1:$A$49,0))</f>
        <v>Lib</v>
      </c>
      <c r="J115" t="str">
        <f>INDEX(products!$C$1:$C$49,MATCH($D115,products!$A$1:$A$49,0))</f>
        <v>M</v>
      </c>
      <c r="K115" s="4">
        <f>INDEX(products!$D$1:$D$49,MATCH($D115,products!$A$1:$A$49,0))</f>
        <v>1</v>
      </c>
      <c r="L115" s="5">
        <f>INDEX(products!$E$1:$E$49,MATCH($D115,products!$A$1:$A$49,0))</f>
        <v>14.55</v>
      </c>
      <c r="M115" s="5">
        <f t="shared" si="1"/>
        <v>14.55</v>
      </c>
      <c r="N115" t="str" cm="1">
        <f t="array" ref="N115">_xlfn.IFS(I115="Rob","Robusta",I115="Exc","Excelsa",I115="Ara","Arabica",I115="Lib","Liberica")</f>
        <v>Liberica</v>
      </c>
      <c r="O115" t="str" cm="1">
        <f t="array" ref="O115">_xlfn.SWITCH($J115,"M","Medium","L","Light","D","Dark")</f>
        <v>Medium</v>
      </c>
      <c r="P115" t="str">
        <f>_xlfn.XLOOKUP(Table1[[#This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IF(_xlfn.XLOOKUP(C116,customers!$A$1:$A$1001,customers!$C$1:$C$1001,,0)=0,"Not _Provided",_xlfn.XLOOKUP(C116,customers!$A$1:$A$1001,customers!$C$1:$C$1001,,0))</f>
        <v>Not _Provided</v>
      </c>
      <c r="H116" s="2" t="str">
        <f>_xlfn.XLOOKUP(C116,customers!$A$1:$A$1001,customers!$G$1:$G$1001,,0)</f>
        <v>United States</v>
      </c>
      <c r="I116" t="str">
        <f>INDEX(products!$B$1:$B$49,MATCH($D116,products!$A$1:$A$49,0))</f>
        <v>Rob</v>
      </c>
      <c r="J116" t="str">
        <f>INDEX(products!$C$1:$C$49,MATCH($D116,products!$A$1:$A$49,0))</f>
        <v>L</v>
      </c>
      <c r="K116" s="4">
        <f>INDEX(products!$D$1:$D$49,MATCH($D116,products!$A$1:$A$49,0))</f>
        <v>0.2</v>
      </c>
      <c r="L116" s="5">
        <f>INDEX(products!$E$1:$E$49,MATCH($D116,products!$A$1:$A$49,0))</f>
        <v>3.5849999999999995</v>
      </c>
      <c r="M116" s="5">
        <f t="shared" si="1"/>
        <v>14.339999999999998</v>
      </c>
      <c r="N116" t="str" cm="1">
        <f t="array" ref="N116">_xlfn.IFS(I116="Rob","Robusta",I116="Exc","Excelsa",I116="Ara","Arabica",I116="Lib","Liberica")</f>
        <v>Robusta</v>
      </c>
      <c r="O116" t="str" cm="1">
        <f t="array" ref="O116">_xlfn.SWITCH($J116,"M","Medium","L","Light","D","Dark")</f>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IF(_xlfn.XLOOKUP(C117,customers!$A$1:$A$1001,customers!$C$1:$C$1001,,0)=0,"Not _Provided",_xlfn.XLOOKUP(C117,customers!$A$1:$A$1001,customers!$C$1:$C$1001,,0))</f>
        <v>imulliner37@pinterest.com</v>
      </c>
      <c r="H117" s="2" t="str">
        <f>_xlfn.XLOOKUP(C117,customers!$A$1:$A$1001,customers!$G$1:$G$1001,,0)</f>
        <v>United Kingdom</v>
      </c>
      <c r="I117" t="str">
        <f>INDEX(products!$B$1:$B$49,MATCH($D117,products!$A$1:$A$49,0))</f>
        <v>Lib</v>
      </c>
      <c r="J117" t="str">
        <f>INDEX(products!$C$1:$C$49,MATCH($D117,products!$A$1:$A$49,0))</f>
        <v>L</v>
      </c>
      <c r="K117" s="4">
        <f>INDEX(products!$D$1:$D$49,MATCH($D117,products!$A$1:$A$49,0))</f>
        <v>1</v>
      </c>
      <c r="L117" s="5">
        <f>INDEX(products!$E$1:$E$49,MATCH($D117,products!$A$1:$A$49,0))</f>
        <v>15.85</v>
      </c>
      <c r="M117" s="5">
        <f t="shared" si="1"/>
        <v>15.85</v>
      </c>
      <c r="N117" t="str" cm="1">
        <f t="array" ref="N117">_xlfn.IFS(I117="Rob","Robusta",I117="Exc","Excelsa",I117="Ara","Arabica",I117="Lib","Liberica")</f>
        <v>Liberica</v>
      </c>
      <c r="O117" t="str" cm="1">
        <f t="array" ref="O117">_xlfn.SWITCH($J117,"M","Medium","L","Light","D","Dark")</f>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IF(_xlfn.XLOOKUP(C118,customers!$A$1:$A$1001,customers!$C$1:$C$1001,,0)=0,"Not _Provided",_xlfn.XLOOKUP(C118,customers!$A$1:$A$1001,customers!$C$1:$C$1001,,0))</f>
        <v>gstandley38@dion.ne.jp</v>
      </c>
      <c r="H118" s="2" t="str">
        <f>_xlfn.XLOOKUP(C118,customers!$A$1:$A$1001,customers!$G$1:$G$1001,,0)</f>
        <v>Ireland</v>
      </c>
      <c r="I118" t="str">
        <f>INDEX(products!$B$1:$B$49,MATCH($D118,products!$A$1:$A$49,0))</f>
        <v>Lib</v>
      </c>
      <c r="J118" t="str">
        <f>INDEX(products!$C$1:$C$49,MATCH($D118,products!$A$1:$A$49,0))</f>
        <v>L</v>
      </c>
      <c r="K118" s="4">
        <f>INDEX(products!$D$1:$D$49,MATCH($D118,products!$A$1:$A$49,0))</f>
        <v>0.2</v>
      </c>
      <c r="L118" s="5">
        <f>INDEX(products!$E$1:$E$49,MATCH($D118,products!$A$1:$A$49,0))</f>
        <v>4.7549999999999999</v>
      </c>
      <c r="M118" s="5">
        <f t="shared" si="1"/>
        <v>19.02</v>
      </c>
      <c r="N118" t="str" cm="1">
        <f t="array" ref="N118">_xlfn.IFS(I118="Rob","Robusta",I118="Exc","Excelsa",I118="Ara","Arabica",I118="Lib","Liberica")</f>
        <v>Liberica</v>
      </c>
      <c r="O118" t="str" cm="1">
        <f t="array" ref="O118">_xlfn.SWITCH($J118,"M","Medium","L","Light","D","Dark")</f>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IF(_xlfn.XLOOKUP(C119,customers!$A$1:$A$1001,customers!$C$1:$C$1001,,0)=0,"Not _Provided",_xlfn.XLOOKUP(C119,customers!$A$1:$A$1001,customers!$C$1:$C$1001,,0))</f>
        <v>bdrage39@youku.com</v>
      </c>
      <c r="H119" s="2" t="str">
        <f>_xlfn.XLOOKUP(C119,customers!$A$1:$A$1001,customers!$G$1:$G$1001,,0)</f>
        <v>United States</v>
      </c>
      <c r="I119" t="str">
        <f>INDEX(products!$B$1:$B$49,MATCH($D119,products!$A$1:$A$49,0))</f>
        <v>Lib</v>
      </c>
      <c r="J119" t="str">
        <f>INDEX(products!$C$1:$C$49,MATCH($D119,products!$A$1:$A$49,0))</f>
        <v>L</v>
      </c>
      <c r="K119" s="4">
        <f>INDEX(products!$D$1:$D$49,MATCH($D119,products!$A$1:$A$49,0))</f>
        <v>0.5</v>
      </c>
      <c r="L119" s="5">
        <f>INDEX(products!$E$1:$E$49,MATCH($D119,products!$A$1:$A$49,0))</f>
        <v>9.51</v>
      </c>
      <c r="M119" s="5">
        <f t="shared" si="1"/>
        <v>38.04</v>
      </c>
      <c r="N119" t="str" cm="1">
        <f t="array" ref="N119">_xlfn.IFS(I119="Rob","Robusta",I119="Exc","Excelsa",I119="Ara","Arabica",I119="Lib","Liberica")</f>
        <v>Liberica</v>
      </c>
      <c r="O119" t="str" cm="1">
        <f t="array" ref="O119">_xlfn.SWITCH($J119,"M","Medium","L","Light","D","Dark")</f>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IF(_xlfn.XLOOKUP(C120,customers!$A$1:$A$1001,customers!$C$1:$C$1001,,0)=0,"Not _Provided",_xlfn.XLOOKUP(C120,customers!$A$1:$A$1001,customers!$C$1:$C$1001,,0))</f>
        <v>myallop3a@fema.gov</v>
      </c>
      <c r="H120" s="2" t="str">
        <f>_xlfn.XLOOKUP(C120,customers!$A$1:$A$1001,customers!$G$1:$G$1001,,0)</f>
        <v>United States</v>
      </c>
      <c r="I120" t="str">
        <f>INDEX(products!$B$1:$B$49,MATCH($D120,products!$A$1:$A$49,0))</f>
        <v>Exc</v>
      </c>
      <c r="J120" t="str">
        <f>INDEX(products!$C$1:$C$49,MATCH($D120,products!$A$1:$A$49,0))</f>
        <v>D</v>
      </c>
      <c r="K120" s="4">
        <f>INDEX(products!$D$1:$D$49,MATCH($D120,products!$A$1:$A$49,0))</f>
        <v>0.5</v>
      </c>
      <c r="L120" s="5">
        <f>INDEX(products!$E$1:$E$49,MATCH($D120,products!$A$1:$A$49,0))</f>
        <v>7.29</v>
      </c>
      <c r="M120" s="5">
        <f t="shared" si="1"/>
        <v>21.87</v>
      </c>
      <c r="N120" t="str" cm="1">
        <f t="array" ref="N120">_xlfn.IFS(I120="Rob","Robusta",I120="Exc","Excelsa",I120="Ara","Arabica",I120="Lib","Liberica")</f>
        <v>Excelsa</v>
      </c>
      <c r="O120" t="str" cm="1">
        <f t="array" ref="O120">_xlfn.SWITCH($J120,"M","Medium","L","Light","D","Dark")</f>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IF(_xlfn.XLOOKUP(C121,customers!$A$1:$A$1001,customers!$C$1:$C$1001,,0)=0,"Not _Provided",_xlfn.XLOOKUP(C121,customers!$A$1:$A$1001,customers!$C$1:$C$1001,,0))</f>
        <v>cswitsur3b@chronoengine.com</v>
      </c>
      <c r="H121" s="2" t="str">
        <f>_xlfn.XLOOKUP(C121,customers!$A$1:$A$1001,customers!$G$1:$G$1001,,0)</f>
        <v>United States</v>
      </c>
      <c r="I121" t="str">
        <f>INDEX(products!$B$1:$B$49,MATCH($D121,products!$A$1:$A$49,0))</f>
        <v>Exc</v>
      </c>
      <c r="J121" t="str">
        <f>INDEX(products!$C$1:$C$49,MATCH($D121,products!$A$1:$A$49,0))</f>
        <v>M</v>
      </c>
      <c r="K121" s="4">
        <f>INDEX(products!$D$1:$D$49,MATCH($D121,products!$A$1:$A$49,0))</f>
        <v>0.2</v>
      </c>
      <c r="L121" s="5">
        <f>INDEX(products!$E$1:$E$49,MATCH($D121,products!$A$1:$A$49,0))</f>
        <v>4.125</v>
      </c>
      <c r="M121" s="5">
        <f t="shared" si="1"/>
        <v>4.125</v>
      </c>
      <c r="N121" t="str" cm="1">
        <f t="array" ref="N121">_xlfn.IFS(I121="Rob","Robusta",I121="Exc","Excelsa",I121="Ara","Arabica",I121="Lib","Liberica")</f>
        <v>Excelsa</v>
      </c>
      <c r="O121" t="str" cm="1">
        <f t="array" ref="O121">_xlfn.SWITCH($J121,"M","Medium","L","Light","D","Dark")</f>
        <v>Medium</v>
      </c>
      <c r="P121" t="str">
        <f>_xlfn.XLOOKUP(Table1[[#This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IF(_xlfn.XLOOKUP(C122,customers!$A$1:$A$1001,customers!$C$1:$C$1001,,0)=0,"Not _Provided",_xlfn.XLOOKUP(C122,customers!$A$1:$A$1001,customers!$C$1:$C$1001,,0))</f>
        <v>cswitsur3b@chronoengine.com</v>
      </c>
      <c r="H122" s="2" t="str">
        <f>_xlfn.XLOOKUP(C122,customers!$A$1:$A$1001,customers!$G$1:$G$1001,,0)</f>
        <v>United States</v>
      </c>
      <c r="I122" t="str">
        <f>INDEX(products!$B$1:$B$49,MATCH($D122,products!$A$1:$A$49,0))</f>
        <v>Ara</v>
      </c>
      <c r="J122" t="str">
        <f>INDEX(products!$C$1:$C$49,MATCH($D122,products!$A$1:$A$49,0))</f>
        <v>L</v>
      </c>
      <c r="K122" s="4">
        <f>INDEX(products!$D$1:$D$49,MATCH($D122,products!$A$1:$A$49,0))</f>
        <v>0.2</v>
      </c>
      <c r="L122" s="5">
        <f>INDEX(products!$E$1:$E$49,MATCH($D122,products!$A$1:$A$49,0))</f>
        <v>3.8849999999999998</v>
      </c>
      <c r="M122" s="5">
        <f t="shared" si="1"/>
        <v>3.8849999999999998</v>
      </c>
      <c r="N122" t="str" cm="1">
        <f t="array" ref="N122">_xlfn.IFS(I122="Rob","Robusta",I122="Exc","Excelsa",I122="Ara","Arabica",I122="Lib","Liberica")</f>
        <v>Arabica</v>
      </c>
      <c r="O122" t="str" cm="1">
        <f t="array" ref="O122">_xlfn.SWITCH($J122,"M","Medium","L","Light","D","Dark")</f>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IF(_xlfn.XLOOKUP(C123,customers!$A$1:$A$1001,customers!$C$1:$C$1001,,0)=0,"Not _Provided",_xlfn.XLOOKUP(C123,customers!$A$1:$A$1001,customers!$C$1:$C$1001,,0))</f>
        <v>cswitsur3b@chronoengine.com</v>
      </c>
      <c r="H123" s="2" t="str">
        <f>_xlfn.XLOOKUP(C123,customers!$A$1:$A$1001,customers!$G$1:$G$1001,,0)</f>
        <v>United States</v>
      </c>
      <c r="I123" t="str">
        <f>INDEX(products!$B$1:$B$49,MATCH($D123,products!$A$1:$A$49,0))</f>
        <v>Exc</v>
      </c>
      <c r="J123" t="str">
        <f>INDEX(products!$C$1:$C$49,MATCH($D123,products!$A$1:$A$49,0))</f>
        <v>M</v>
      </c>
      <c r="K123" s="4">
        <f>INDEX(products!$D$1:$D$49,MATCH($D123,products!$A$1:$A$49,0))</f>
        <v>1</v>
      </c>
      <c r="L123" s="5">
        <f>INDEX(products!$E$1:$E$49,MATCH($D123,products!$A$1:$A$49,0))</f>
        <v>13.75</v>
      </c>
      <c r="M123" s="5">
        <f t="shared" si="1"/>
        <v>68.75</v>
      </c>
      <c r="N123" t="str" cm="1">
        <f t="array" ref="N123">_xlfn.IFS(I123="Rob","Robusta",I123="Exc","Excelsa",I123="Ara","Arabica",I123="Lib","Liberica")</f>
        <v>Excelsa</v>
      </c>
      <c r="O123" t="str" cm="1">
        <f t="array" ref="O123">_xlfn.SWITCH($J123,"M","Medium","L","Light","D","Dark")</f>
        <v>Medium</v>
      </c>
      <c r="P123" t="str">
        <f>_xlfn.XLOOKUP(Table1[[#This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IF(_xlfn.XLOOKUP(C124,customers!$A$1:$A$1001,customers!$C$1:$C$1001,,0)=0,"Not _Provided",_xlfn.XLOOKUP(C124,customers!$A$1:$A$1001,customers!$C$1:$C$1001,,0))</f>
        <v>mludwell3e@blogger.com</v>
      </c>
      <c r="H124" s="2" t="str">
        <f>_xlfn.XLOOKUP(C124,customers!$A$1:$A$1001,customers!$G$1:$G$1001,,0)</f>
        <v>United States</v>
      </c>
      <c r="I124" t="str">
        <f>INDEX(products!$B$1:$B$49,MATCH($D124,products!$A$1:$A$49,0))</f>
        <v>Ara</v>
      </c>
      <c r="J124" t="str">
        <f>INDEX(products!$C$1:$C$49,MATCH($D124,products!$A$1:$A$49,0))</f>
        <v>D</v>
      </c>
      <c r="K124" s="4">
        <f>INDEX(products!$D$1:$D$49,MATCH($D124,products!$A$1:$A$49,0))</f>
        <v>0.5</v>
      </c>
      <c r="L124" s="5">
        <f>INDEX(products!$E$1:$E$49,MATCH($D124,products!$A$1:$A$49,0))</f>
        <v>5.97</v>
      </c>
      <c r="M124" s="5">
        <f t="shared" si="1"/>
        <v>23.88</v>
      </c>
      <c r="N124" t="str" cm="1">
        <f t="array" ref="N124">_xlfn.IFS(I124="Rob","Robusta",I124="Exc","Excelsa",I124="Ara","Arabica",I124="Lib","Liberica")</f>
        <v>Arabica</v>
      </c>
      <c r="O124" t="str" cm="1">
        <f t="array" ref="O124">_xlfn.SWITCH($J124,"M","Medium","L","Light","D","Dark")</f>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IF(_xlfn.XLOOKUP(C125,customers!$A$1:$A$1001,customers!$C$1:$C$1001,,0)=0,"Not _Provided",_xlfn.XLOOKUP(C125,customers!$A$1:$A$1001,customers!$C$1:$C$1001,,0))</f>
        <v>dbeauchamp3f@usda.gov</v>
      </c>
      <c r="H125" s="2" t="str">
        <f>_xlfn.XLOOKUP(C125,customers!$A$1:$A$1001,customers!$G$1:$G$1001,,0)</f>
        <v>United States</v>
      </c>
      <c r="I125" t="str">
        <f>INDEX(products!$B$1:$B$49,MATCH($D125,products!$A$1:$A$49,0))</f>
        <v>Lib</v>
      </c>
      <c r="J125" t="str">
        <f>INDEX(products!$C$1:$C$49,MATCH($D125,products!$A$1:$A$49,0))</f>
        <v>L</v>
      </c>
      <c r="K125" s="4">
        <f>INDEX(products!$D$1:$D$49,MATCH($D125,products!$A$1:$A$49,0))</f>
        <v>2.5</v>
      </c>
      <c r="L125" s="5">
        <f>INDEX(products!$E$1:$E$49,MATCH($D125,products!$A$1:$A$49,0))</f>
        <v>36.454999999999998</v>
      </c>
      <c r="M125" s="5">
        <f t="shared" si="1"/>
        <v>145.82</v>
      </c>
      <c r="N125" t="str" cm="1">
        <f t="array" ref="N125">_xlfn.IFS(I125="Rob","Robusta",I125="Exc","Excelsa",I125="Ara","Arabica",I125="Lib","Liberica")</f>
        <v>Liberica</v>
      </c>
      <c r="O125" t="str" cm="1">
        <f t="array" ref="O125">_xlfn.SWITCH($J125,"M","Medium","L","Light","D","Dark")</f>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IF(_xlfn.XLOOKUP(C126,customers!$A$1:$A$1001,customers!$C$1:$C$1001,,0)=0,"Not _Provided",_xlfn.XLOOKUP(C126,customers!$A$1:$A$1001,customers!$C$1:$C$1001,,0))</f>
        <v>srodliff3g@ted.com</v>
      </c>
      <c r="H126" s="2" t="str">
        <f>_xlfn.XLOOKUP(C126,customers!$A$1:$A$1001,customers!$G$1:$G$1001,,0)</f>
        <v>United States</v>
      </c>
      <c r="I126" t="str">
        <f>INDEX(products!$B$1:$B$49,MATCH($D126,products!$A$1:$A$49,0))</f>
        <v>Lib</v>
      </c>
      <c r="J126" t="str">
        <f>INDEX(products!$C$1:$C$49,MATCH($D126,products!$A$1:$A$49,0))</f>
        <v>M</v>
      </c>
      <c r="K126" s="4">
        <f>INDEX(products!$D$1:$D$49,MATCH($D126,products!$A$1:$A$49,0))</f>
        <v>0.2</v>
      </c>
      <c r="L126" s="5">
        <f>INDEX(products!$E$1:$E$49,MATCH($D126,products!$A$1:$A$49,0))</f>
        <v>4.3650000000000002</v>
      </c>
      <c r="M126" s="5">
        <f t="shared" si="1"/>
        <v>21.825000000000003</v>
      </c>
      <c r="N126" t="str" cm="1">
        <f t="array" ref="N126">_xlfn.IFS(I126="Rob","Robusta",I126="Exc","Excelsa",I126="Ara","Arabica",I126="Lib","Liberica")</f>
        <v>Liberica</v>
      </c>
      <c r="O126" t="str" cm="1">
        <f t="array" ref="O126">_xlfn.SWITCH($J126,"M","Medium","L","Light","D","Dark")</f>
        <v>Medium</v>
      </c>
      <c r="P126" t="str">
        <f>_xlfn.XLOOKUP(Table1[[#This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IF(_xlfn.XLOOKUP(C127,customers!$A$1:$A$1001,customers!$C$1:$C$1001,,0)=0,"Not _Provided",_xlfn.XLOOKUP(C127,customers!$A$1:$A$1001,customers!$C$1:$C$1001,,0))</f>
        <v>swoodham3h@businesswire.com</v>
      </c>
      <c r="H127" s="2" t="str">
        <f>_xlfn.XLOOKUP(C127,customers!$A$1:$A$1001,customers!$G$1:$G$1001,,0)</f>
        <v>Ireland</v>
      </c>
      <c r="I127" t="str">
        <f>INDEX(products!$B$1:$B$49,MATCH($D127,products!$A$1:$A$49,0))</f>
        <v>Lib</v>
      </c>
      <c r="J127" t="str">
        <f>INDEX(products!$C$1:$C$49,MATCH($D127,products!$A$1:$A$49,0))</f>
        <v>M</v>
      </c>
      <c r="K127" s="4">
        <f>INDEX(products!$D$1:$D$49,MATCH($D127,products!$A$1:$A$49,0))</f>
        <v>0.5</v>
      </c>
      <c r="L127" s="5">
        <f>INDEX(products!$E$1:$E$49,MATCH($D127,products!$A$1:$A$49,0))</f>
        <v>8.73</v>
      </c>
      <c r="M127" s="5">
        <f t="shared" si="1"/>
        <v>26.19</v>
      </c>
      <c r="N127" t="str" cm="1">
        <f t="array" ref="N127">_xlfn.IFS(I127="Rob","Robusta",I127="Exc","Excelsa",I127="Ara","Arabica",I127="Lib","Liberica")</f>
        <v>Liberica</v>
      </c>
      <c r="O127" t="str" cm="1">
        <f t="array" ref="O127">_xlfn.SWITCH($J127,"M","Medium","L","Light","D","Dark")</f>
        <v>Medium</v>
      </c>
      <c r="P127" t="str">
        <f>_xlfn.XLOOKUP(Table1[[#This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IF(_xlfn.XLOOKUP(C128,customers!$A$1:$A$1001,customers!$C$1:$C$1001,,0)=0,"Not _Provided",_xlfn.XLOOKUP(C128,customers!$A$1:$A$1001,customers!$C$1:$C$1001,,0))</f>
        <v>hsynnot3i@about.com</v>
      </c>
      <c r="H128" s="2" t="str">
        <f>_xlfn.XLOOKUP(C128,customers!$A$1:$A$1001,customers!$G$1:$G$1001,,0)</f>
        <v>United States</v>
      </c>
      <c r="I128" t="str">
        <f>INDEX(products!$B$1:$B$49,MATCH($D128,products!$A$1:$A$49,0))</f>
        <v>Ara</v>
      </c>
      <c r="J128" t="str">
        <f>INDEX(products!$C$1:$C$49,MATCH($D128,products!$A$1:$A$49,0))</f>
        <v>M</v>
      </c>
      <c r="K128" s="4">
        <f>INDEX(products!$D$1:$D$49,MATCH($D128,products!$A$1:$A$49,0))</f>
        <v>1</v>
      </c>
      <c r="L128" s="5">
        <f>INDEX(products!$E$1:$E$49,MATCH($D128,products!$A$1:$A$49,0))</f>
        <v>11.25</v>
      </c>
      <c r="M128" s="5">
        <f t="shared" si="1"/>
        <v>11.25</v>
      </c>
      <c r="N128" t="str" cm="1">
        <f t="array" ref="N128">_xlfn.IFS(I128="Rob","Robusta",I128="Exc","Excelsa",I128="Ara","Arabica",I128="Lib","Liberica")</f>
        <v>Arabica</v>
      </c>
      <c r="O128" t="str" cm="1">
        <f t="array" ref="O128">_xlfn.SWITCH($J128,"M","Medium","L","Light","D","Dark")</f>
        <v>Medium</v>
      </c>
      <c r="P128" t="str">
        <f>_xlfn.XLOOKUP(Table1[[#This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IF(_xlfn.XLOOKUP(C129,customers!$A$1:$A$1001,customers!$C$1:$C$1001,,0)=0,"Not _Provided",_xlfn.XLOOKUP(C129,customers!$A$1:$A$1001,customers!$C$1:$C$1001,,0))</f>
        <v>rlepere3j@shop-pro.jp</v>
      </c>
      <c r="H129" s="2" t="str">
        <f>_xlfn.XLOOKUP(C129,customers!$A$1:$A$1001,customers!$G$1:$G$1001,,0)</f>
        <v>Ireland</v>
      </c>
      <c r="I129" t="str">
        <f>INDEX(products!$B$1:$B$49,MATCH($D129,products!$A$1:$A$49,0))</f>
        <v>Lib</v>
      </c>
      <c r="J129" t="str">
        <f>INDEX(products!$C$1:$C$49,MATCH($D129,products!$A$1:$A$49,0))</f>
        <v>D</v>
      </c>
      <c r="K129" s="4">
        <f>INDEX(products!$D$1:$D$49,MATCH($D129,products!$A$1:$A$49,0))</f>
        <v>1</v>
      </c>
      <c r="L129" s="5">
        <f>INDEX(products!$E$1:$E$49,MATCH($D129,products!$A$1:$A$49,0))</f>
        <v>12.95</v>
      </c>
      <c r="M129" s="5">
        <f t="shared" si="1"/>
        <v>77.699999999999989</v>
      </c>
      <c r="N129" t="str" cm="1">
        <f t="array" ref="N129">_xlfn.IFS(I129="Rob","Robusta",I129="Exc","Excelsa",I129="Ara","Arabica",I129="Lib","Liberica")</f>
        <v>Liberica</v>
      </c>
      <c r="O129" t="str" cm="1">
        <f t="array" ref="O129">_xlfn.SWITCH($J129,"M","Medium","L","Light","D","Dark")</f>
        <v>Dark</v>
      </c>
      <c r="P129" t="str">
        <f>_xlfn.XLOOKUP(Table1[[#This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IF(_xlfn.XLOOKUP(C130,customers!$A$1:$A$1001,customers!$C$1:$C$1001,,0)=0,"Not _Provided",_xlfn.XLOOKUP(C130,customers!$A$1:$A$1001,customers!$C$1:$C$1001,,0))</f>
        <v>twoofinden3k@businesswire.com</v>
      </c>
      <c r="H130" s="2" t="str">
        <f>_xlfn.XLOOKUP(C130,customers!$A$1:$A$1001,customers!$G$1:$G$1001,,0)</f>
        <v>United States</v>
      </c>
      <c r="I130" t="str">
        <f>INDEX(products!$B$1:$B$49,MATCH($D130,products!$A$1:$A$49,0))</f>
        <v>Ara</v>
      </c>
      <c r="J130" t="str">
        <f>INDEX(products!$C$1:$C$49,MATCH($D130,products!$A$1:$A$49,0))</f>
        <v>M</v>
      </c>
      <c r="K130" s="4">
        <f>INDEX(products!$D$1:$D$49,MATCH($D130,products!$A$1:$A$49,0))</f>
        <v>0.5</v>
      </c>
      <c r="L130" s="5">
        <f>INDEX(products!$E$1:$E$49,MATCH($D130,products!$A$1:$A$49,0))</f>
        <v>6.75</v>
      </c>
      <c r="M130" s="5">
        <f t="shared" si="1"/>
        <v>6.75</v>
      </c>
      <c r="N130" t="str" cm="1">
        <f t="array" ref="N130">_xlfn.IFS(I130="Rob","Robusta",I130="Exc","Excelsa",I130="Ara","Arabica",I130="Lib","Liberica")</f>
        <v>Arabica</v>
      </c>
      <c r="O130" t="str" cm="1">
        <f t="array" ref="O130">_xlfn.SWITCH($J130,"M","Medium","L","Light","D","Dark")</f>
        <v>Medium</v>
      </c>
      <c r="P130" t="str">
        <f>_xlfn.XLOOKUP(Table1[[#This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IF(_xlfn.XLOOKUP(C131,customers!$A$1:$A$1001,customers!$C$1:$C$1001,,0)=0,"Not _Provided",_xlfn.XLOOKUP(C131,customers!$A$1:$A$1001,customers!$C$1:$C$1001,,0))</f>
        <v>edacca3l@google.pl</v>
      </c>
      <c r="H131" s="2" t="str">
        <f>_xlfn.XLOOKUP(C131,customers!$A$1:$A$1001,customers!$G$1:$G$1001,,0)</f>
        <v>United States</v>
      </c>
      <c r="I131" t="str">
        <f>INDEX(products!$B$1:$B$49,MATCH($D131,products!$A$1:$A$49,0))</f>
        <v>Exc</v>
      </c>
      <c r="J131" t="str">
        <f>INDEX(products!$C$1:$C$49,MATCH($D131,products!$A$1:$A$49,0))</f>
        <v>D</v>
      </c>
      <c r="K131" s="4">
        <f>INDEX(products!$D$1:$D$49,MATCH($D131,products!$A$1:$A$49,0))</f>
        <v>1</v>
      </c>
      <c r="L131" s="5">
        <f>INDEX(products!$E$1:$E$49,MATCH($D131,products!$A$1:$A$49,0))</f>
        <v>12.15</v>
      </c>
      <c r="M131" s="5">
        <f t="shared" ref="M131:M194" si="2">E131*L131</f>
        <v>12.15</v>
      </c>
      <c r="N131" t="str" cm="1">
        <f t="array" ref="N131">_xlfn.IFS(I131="Rob","Robusta",I131="Exc","Excelsa",I131="Ara","Arabica",I131="Lib","Liberica")</f>
        <v>Excelsa</v>
      </c>
      <c r="O131" t="str" cm="1">
        <f t="array" ref="O131">_xlfn.SWITCH($J131,"M","Medium","L","Light","D","Dark")</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IF(_xlfn.XLOOKUP(C132,customers!$A$1:$A$1001,customers!$C$1:$C$1001,,0)=0,"Not _Provided",_xlfn.XLOOKUP(C132,customers!$A$1:$A$1001,customers!$C$1:$C$1001,,0))</f>
        <v>Not _Provided</v>
      </c>
      <c r="H132" s="2" t="str">
        <f>_xlfn.XLOOKUP(C132,customers!$A$1:$A$1001,customers!$G$1:$G$1001,,0)</f>
        <v>Ireland</v>
      </c>
      <c r="I132" t="str">
        <f>INDEX(products!$B$1:$B$49,MATCH($D132,products!$A$1:$A$49,0))</f>
        <v>Ara</v>
      </c>
      <c r="J132" t="str">
        <f>INDEX(products!$C$1:$C$49,MATCH($D132,products!$A$1:$A$49,0))</f>
        <v>L</v>
      </c>
      <c r="K132" s="4">
        <f>INDEX(products!$D$1:$D$49,MATCH($D132,products!$A$1:$A$49,0))</f>
        <v>2.5</v>
      </c>
      <c r="L132" s="5">
        <f>INDEX(products!$E$1:$E$49,MATCH($D132,products!$A$1:$A$49,0))</f>
        <v>29.784999999999997</v>
      </c>
      <c r="M132" s="5">
        <f t="shared" si="2"/>
        <v>148.92499999999998</v>
      </c>
      <c r="N132" t="str" cm="1">
        <f t="array" ref="N132">_xlfn.IFS(I132="Rob","Robusta",I132="Exc","Excelsa",I132="Ara","Arabica",I132="Lib","Liberica")</f>
        <v>Arabica</v>
      </c>
      <c r="O132" t="str" cm="1">
        <f t="array" ref="O132">_xlfn.SWITCH($J132,"M","Medium","L","Light","D","Dark")</f>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IF(_xlfn.XLOOKUP(C133,customers!$A$1:$A$1001,customers!$C$1:$C$1001,,0)=0,"Not _Provided",_xlfn.XLOOKUP(C133,customers!$A$1:$A$1001,customers!$C$1:$C$1001,,0))</f>
        <v>bhindsberg3n@blogs.com</v>
      </c>
      <c r="H133" s="2" t="str">
        <f>_xlfn.XLOOKUP(C133,customers!$A$1:$A$1001,customers!$G$1:$G$1001,,0)</f>
        <v>United States</v>
      </c>
      <c r="I133" t="str">
        <f>INDEX(products!$B$1:$B$49,MATCH($D133,products!$A$1:$A$49,0))</f>
        <v>Exc</v>
      </c>
      <c r="J133" t="str">
        <f>INDEX(products!$C$1:$C$49,MATCH($D133,products!$A$1:$A$49,0))</f>
        <v>D</v>
      </c>
      <c r="K133" s="4">
        <f>INDEX(products!$D$1:$D$49,MATCH($D133,products!$A$1:$A$49,0))</f>
        <v>0.5</v>
      </c>
      <c r="L133" s="5">
        <f>INDEX(products!$E$1:$E$49,MATCH($D133,products!$A$1:$A$49,0))</f>
        <v>7.29</v>
      </c>
      <c r="M133" s="5">
        <f t="shared" si="2"/>
        <v>14.58</v>
      </c>
      <c r="N133" t="str" cm="1">
        <f t="array" ref="N133">_xlfn.IFS(I133="Rob","Robusta",I133="Exc","Excelsa",I133="Ara","Arabica",I133="Lib","Liberica")</f>
        <v>Excelsa</v>
      </c>
      <c r="O133" t="str" cm="1">
        <f t="array" ref="O133">_xlfn.SWITCH($J133,"M","Medium","L","Light","D","Dark")</f>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IF(_xlfn.XLOOKUP(C134,customers!$A$1:$A$1001,customers!$C$1:$C$1001,,0)=0,"Not _Provided",_xlfn.XLOOKUP(C134,customers!$A$1:$A$1001,customers!$C$1:$C$1001,,0))</f>
        <v>orobins3o@salon.com</v>
      </c>
      <c r="H134" s="2" t="str">
        <f>_xlfn.XLOOKUP(C134,customers!$A$1:$A$1001,customers!$G$1:$G$1001,,0)</f>
        <v>United States</v>
      </c>
      <c r="I134" t="str">
        <f>INDEX(products!$B$1:$B$49,MATCH($D134,products!$A$1:$A$49,0))</f>
        <v>Ara</v>
      </c>
      <c r="J134" t="str">
        <f>INDEX(products!$C$1:$C$49,MATCH($D134,products!$A$1:$A$49,0))</f>
        <v>L</v>
      </c>
      <c r="K134" s="4">
        <f>INDEX(products!$D$1:$D$49,MATCH($D134,products!$A$1:$A$49,0))</f>
        <v>2.5</v>
      </c>
      <c r="L134" s="5">
        <f>INDEX(products!$E$1:$E$49,MATCH($D134,products!$A$1:$A$49,0))</f>
        <v>29.784999999999997</v>
      </c>
      <c r="M134" s="5">
        <f t="shared" si="2"/>
        <v>148.92499999999998</v>
      </c>
      <c r="N134" t="str" cm="1">
        <f t="array" ref="N134">_xlfn.IFS(I134="Rob","Robusta",I134="Exc","Excelsa",I134="Ara","Arabica",I134="Lib","Liberica")</f>
        <v>Arabica</v>
      </c>
      <c r="O134" t="str" cm="1">
        <f t="array" ref="O134">_xlfn.SWITCH($J134,"M","Medium","L","Light","D","Dark")</f>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IF(_xlfn.XLOOKUP(C135,customers!$A$1:$A$1001,customers!$C$1:$C$1001,,0)=0,"Not _Provided",_xlfn.XLOOKUP(C135,customers!$A$1:$A$1001,customers!$C$1:$C$1001,,0))</f>
        <v>osyseland3p@independent.co.uk</v>
      </c>
      <c r="H135" s="2" t="str">
        <f>_xlfn.XLOOKUP(C135,customers!$A$1:$A$1001,customers!$G$1:$G$1001,,0)</f>
        <v>United States</v>
      </c>
      <c r="I135" t="str">
        <f>INDEX(products!$B$1:$B$49,MATCH($D135,products!$A$1:$A$49,0))</f>
        <v>Lib</v>
      </c>
      <c r="J135" t="str">
        <f>INDEX(products!$C$1:$C$49,MATCH($D135,products!$A$1:$A$49,0))</f>
        <v>D</v>
      </c>
      <c r="K135" s="4">
        <f>INDEX(products!$D$1:$D$49,MATCH($D135,products!$A$1:$A$49,0))</f>
        <v>1</v>
      </c>
      <c r="L135" s="5">
        <f>INDEX(products!$E$1:$E$49,MATCH($D135,products!$A$1:$A$49,0))</f>
        <v>12.95</v>
      </c>
      <c r="M135" s="5">
        <f t="shared" si="2"/>
        <v>12.95</v>
      </c>
      <c r="N135" t="str" cm="1">
        <f t="array" ref="N135">_xlfn.IFS(I135="Rob","Robusta",I135="Exc","Excelsa",I135="Ara","Arabica",I135="Lib","Liberica")</f>
        <v>Liberica</v>
      </c>
      <c r="O135" t="str" cm="1">
        <f t="array" ref="O135">_xlfn.SWITCH($J135,"M","Medium","L","Light","D","Dark")</f>
        <v>Dark</v>
      </c>
      <c r="P135" t="str">
        <f>_xlfn.XLOOKUP(Table1[[#This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IF(_xlfn.XLOOKUP(C136,customers!$A$1:$A$1001,customers!$C$1:$C$1001,,0)=0,"Not _Provided",_xlfn.XLOOKUP(C136,customers!$A$1:$A$1001,customers!$C$1:$C$1001,,0))</f>
        <v>Not _Provided</v>
      </c>
      <c r="H136" s="2" t="str">
        <f>_xlfn.XLOOKUP(C136,customers!$A$1:$A$1001,customers!$G$1:$G$1001,,0)</f>
        <v>United States</v>
      </c>
      <c r="I136" t="str">
        <f>INDEX(products!$B$1:$B$49,MATCH($D136,products!$A$1:$A$49,0))</f>
        <v>Exc</v>
      </c>
      <c r="J136" t="str">
        <f>INDEX(products!$C$1:$C$49,MATCH($D136,products!$A$1:$A$49,0))</f>
        <v>M</v>
      </c>
      <c r="K136" s="4">
        <f>INDEX(products!$D$1:$D$49,MATCH($D136,products!$A$1:$A$49,0))</f>
        <v>2.5</v>
      </c>
      <c r="L136" s="5">
        <f>INDEX(products!$E$1:$E$49,MATCH($D136,products!$A$1:$A$49,0))</f>
        <v>31.624999999999996</v>
      </c>
      <c r="M136" s="5">
        <f t="shared" si="2"/>
        <v>94.874999999999986</v>
      </c>
      <c r="N136" t="str" cm="1">
        <f t="array" ref="N136">_xlfn.IFS(I136="Rob","Robusta",I136="Exc","Excelsa",I136="Ara","Arabica",I136="Lib","Liberica")</f>
        <v>Excelsa</v>
      </c>
      <c r="O136" t="str" cm="1">
        <f t="array" ref="O136">_xlfn.SWITCH($J136,"M","Medium","L","Light","D","Dark")</f>
        <v>Medium</v>
      </c>
      <c r="P136" t="str">
        <f>_xlfn.XLOOKUP(Table1[[#This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IF(_xlfn.XLOOKUP(C137,customers!$A$1:$A$1001,customers!$C$1:$C$1001,,0)=0,"Not _Provided",_xlfn.XLOOKUP(C137,customers!$A$1:$A$1001,customers!$C$1:$C$1001,,0))</f>
        <v>bmcamish2e@tripadvisor.com</v>
      </c>
      <c r="H137" s="2" t="str">
        <f>_xlfn.XLOOKUP(C137,customers!$A$1:$A$1001,customers!$G$1:$G$1001,,0)</f>
        <v>United States</v>
      </c>
      <c r="I137" t="str">
        <f>INDEX(products!$B$1:$B$49,MATCH($D137,products!$A$1:$A$49,0))</f>
        <v>Ara</v>
      </c>
      <c r="J137" t="str">
        <f>INDEX(products!$C$1:$C$49,MATCH($D137,products!$A$1:$A$49,0))</f>
        <v>L</v>
      </c>
      <c r="K137" s="4">
        <f>INDEX(products!$D$1:$D$49,MATCH($D137,products!$A$1:$A$49,0))</f>
        <v>0.5</v>
      </c>
      <c r="L137" s="5">
        <f>INDEX(products!$E$1:$E$49,MATCH($D137,products!$A$1:$A$49,0))</f>
        <v>7.77</v>
      </c>
      <c r="M137" s="5">
        <f t="shared" si="2"/>
        <v>38.849999999999994</v>
      </c>
      <c r="N137" t="str" cm="1">
        <f t="array" ref="N137">_xlfn.IFS(I137="Rob","Robusta",I137="Exc","Excelsa",I137="Ara","Arabica",I137="Lib","Liberica")</f>
        <v>Arabica</v>
      </c>
      <c r="O137" t="str" cm="1">
        <f t="array" ref="O137">_xlfn.SWITCH($J137,"M","Medium","L","Light","D","Dark")</f>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IF(_xlfn.XLOOKUP(C138,customers!$A$1:$A$1001,customers!$C$1:$C$1001,,0)=0,"Not _Provided",_xlfn.XLOOKUP(C138,customers!$A$1:$A$1001,customers!$C$1:$C$1001,,0))</f>
        <v>lkeenleyside3s@topsy.com</v>
      </c>
      <c r="H138" s="2" t="str">
        <f>_xlfn.XLOOKUP(C138,customers!$A$1:$A$1001,customers!$G$1:$G$1001,,0)</f>
        <v>United States</v>
      </c>
      <c r="I138" t="str">
        <f>INDEX(products!$B$1:$B$49,MATCH($D138,products!$A$1:$A$49,0))</f>
        <v>Ara</v>
      </c>
      <c r="J138" t="str">
        <f>INDEX(products!$C$1:$C$49,MATCH($D138,products!$A$1:$A$49,0))</f>
        <v>D</v>
      </c>
      <c r="K138" s="4">
        <f>INDEX(products!$D$1:$D$49,MATCH($D138,products!$A$1:$A$49,0))</f>
        <v>0.2</v>
      </c>
      <c r="L138" s="5">
        <f>INDEX(products!$E$1:$E$49,MATCH($D138,products!$A$1:$A$49,0))</f>
        <v>2.9849999999999999</v>
      </c>
      <c r="M138" s="5">
        <f t="shared" si="2"/>
        <v>11.94</v>
      </c>
      <c r="N138" t="str" cm="1">
        <f t="array" ref="N138">_xlfn.IFS(I138="Rob","Robusta",I138="Exc","Excelsa",I138="Ara","Arabica",I138="Lib","Liberica")</f>
        <v>Arabica</v>
      </c>
      <c r="O138" t="str" cm="1">
        <f t="array" ref="O138">_xlfn.SWITCH($J138,"M","Medium","L","Light","D","Dark")</f>
        <v>Dark</v>
      </c>
      <c r="P138" t="str">
        <f>_xlfn.XLOOKUP(Table1[[#This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IF(_xlfn.XLOOKUP(C139,customers!$A$1:$A$1001,customers!$C$1:$C$1001,,0)=0,"Not _Provided",_xlfn.XLOOKUP(C139,customers!$A$1:$A$1001,customers!$C$1:$C$1001,,0))</f>
        <v>Not _Provided</v>
      </c>
      <c r="H139" s="2" t="str">
        <f>_xlfn.XLOOKUP(C139,customers!$A$1:$A$1001,customers!$G$1:$G$1001,,0)</f>
        <v>Ireland</v>
      </c>
      <c r="I139" t="str">
        <f>INDEX(products!$B$1:$B$49,MATCH($D139,products!$A$1:$A$49,0))</f>
        <v>Exc</v>
      </c>
      <c r="J139" t="str">
        <f>INDEX(products!$C$1:$C$49,MATCH($D139,products!$A$1:$A$49,0))</f>
        <v>L</v>
      </c>
      <c r="K139" s="4">
        <f>INDEX(products!$D$1:$D$49,MATCH($D139,products!$A$1:$A$49,0))</f>
        <v>2.5</v>
      </c>
      <c r="L139" s="5">
        <f>INDEX(products!$E$1:$E$49,MATCH($D139,products!$A$1:$A$49,0))</f>
        <v>34.154999999999994</v>
      </c>
      <c r="M139" s="5">
        <f t="shared" si="2"/>
        <v>102.46499999999997</v>
      </c>
      <c r="N139" t="str" cm="1">
        <f t="array" ref="N139">_xlfn.IFS(I139="Rob","Robusta",I139="Exc","Excelsa",I139="Ara","Arabica",I139="Lib","Liberica")</f>
        <v>Excelsa</v>
      </c>
      <c r="O139" t="str" cm="1">
        <f t="array" ref="O139">_xlfn.SWITCH($J139,"M","Medium","L","Light","D","Dark")</f>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IF(_xlfn.XLOOKUP(C140,customers!$A$1:$A$1001,customers!$C$1:$C$1001,,0)=0,"Not _Provided",_xlfn.XLOOKUP(C140,customers!$A$1:$A$1001,customers!$C$1:$C$1001,,0))</f>
        <v>Not _Provided</v>
      </c>
      <c r="H140" s="2" t="str">
        <f>_xlfn.XLOOKUP(C140,customers!$A$1:$A$1001,customers!$G$1:$G$1001,,0)</f>
        <v>United States</v>
      </c>
      <c r="I140" t="str">
        <f>INDEX(products!$B$1:$B$49,MATCH($D140,products!$A$1:$A$49,0))</f>
        <v>Exc</v>
      </c>
      <c r="J140" t="str">
        <f>INDEX(products!$C$1:$C$49,MATCH($D140,products!$A$1:$A$49,0))</f>
        <v>D</v>
      </c>
      <c r="K140" s="4">
        <f>INDEX(products!$D$1:$D$49,MATCH($D140,products!$A$1:$A$49,0))</f>
        <v>1</v>
      </c>
      <c r="L140" s="5">
        <f>INDEX(products!$E$1:$E$49,MATCH($D140,products!$A$1:$A$49,0))</f>
        <v>12.15</v>
      </c>
      <c r="M140" s="5">
        <f t="shared" si="2"/>
        <v>48.6</v>
      </c>
      <c r="N140" t="str" cm="1">
        <f t="array" ref="N140">_xlfn.IFS(I140="Rob","Robusta",I140="Exc","Excelsa",I140="Ara","Arabica",I140="Lib","Liberica")</f>
        <v>Excelsa</v>
      </c>
      <c r="O140" t="str" cm="1">
        <f t="array" ref="O140">_xlfn.SWITCH($J140,"M","Medium","L","Light","D","Dark")</f>
        <v>Dark</v>
      </c>
      <c r="P140" t="str">
        <f>_xlfn.XLOOKUP(Table1[[#This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IF(_xlfn.XLOOKUP(C141,customers!$A$1:$A$1001,customers!$C$1:$C$1001,,0)=0,"Not _Provided",_xlfn.XLOOKUP(C141,customers!$A$1:$A$1001,customers!$C$1:$C$1001,,0))</f>
        <v>Not _Provided</v>
      </c>
      <c r="H141" s="2" t="str">
        <f>_xlfn.XLOOKUP(C141,customers!$A$1:$A$1001,customers!$G$1:$G$1001,,0)</f>
        <v>United States</v>
      </c>
      <c r="I141" t="str">
        <f>INDEX(products!$B$1:$B$49,MATCH($D141,products!$A$1:$A$49,0))</f>
        <v>Lib</v>
      </c>
      <c r="J141" t="str">
        <f>INDEX(products!$C$1:$C$49,MATCH($D141,products!$A$1:$A$49,0))</f>
        <v>D</v>
      </c>
      <c r="K141" s="4">
        <f>INDEX(products!$D$1:$D$49,MATCH($D141,products!$A$1:$A$49,0))</f>
        <v>1</v>
      </c>
      <c r="L141" s="5">
        <f>INDEX(products!$E$1:$E$49,MATCH($D141,products!$A$1:$A$49,0))</f>
        <v>12.95</v>
      </c>
      <c r="M141" s="5">
        <f t="shared" si="2"/>
        <v>77.699999999999989</v>
      </c>
      <c r="N141" t="str" cm="1">
        <f t="array" ref="N141">_xlfn.IFS(I141="Rob","Robusta",I141="Exc","Excelsa",I141="Ara","Arabica",I141="Lib","Liberica")</f>
        <v>Liberica</v>
      </c>
      <c r="O141" t="str" cm="1">
        <f t="array" ref="O141">_xlfn.SWITCH($J141,"M","Medium","L","Light","D","Dark")</f>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IF(_xlfn.XLOOKUP(C142,customers!$A$1:$A$1001,customers!$C$1:$C$1001,,0)=0,"Not _Provided",_xlfn.XLOOKUP(C142,customers!$A$1:$A$1001,customers!$C$1:$C$1001,,0))</f>
        <v>vkundt3w@bigcartel.com</v>
      </c>
      <c r="H142" s="2" t="str">
        <f>_xlfn.XLOOKUP(C142,customers!$A$1:$A$1001,customers!$G$1:$G$1001,,0)</f>
        <v>Ireland</v>
      </c>
      <c r="I142" t="str">
        <f>INDEX(products!$B$1:$B$49,MATCH($D142,products!$A$1:$A$49,0))</f>
        <v>Lib</v>
      </c>
      <c r="J142" t="str">
        <f>INDEX(products!$C$1:$C$49,MATCH($D142,products!$A$1:$A$49,0))</f>
        <v>D</v>
      </c>
      <c r="K142" s="4">
        <f>INDEX(products!$D$1:$D$49,MATCH($D142,products!$A$1:$A$49,0))</f>
        <v>2.5</v>
      </c>
      <c r="L142" s="5">
        <f>INDEX(products!$E$1:$E$49,MATCH($D142,products!$A$1:$A$49,0))</f>
        <v>29.784999999999997</v>
      </c>
      <c r="M142" s="5">
        <f t="shared" si="2"/>
        <v>29.784999999999997</v>
      </c>
      <c r="N142" t="str" cm="1">
        <f t="array" ref="N142">_xlfn.IFS(I142="Rob","Robusta",I142="Exc","Excelsa",I142="Ara","Arabica",I142="Lib","Liberica")</f>
        <v>Liberica</v>
      </c>
      <c r="O142" t="str" cm="1">
        <f t="array" ref="O142">_xlfn.SWITCH($J142,"M","Medium","L","Light","D","Dark")</f>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IF(_xlfn.XLOOKUP(C143,customers!$A$1:$A$1001,customers!$C$1:$C$1001,,0)=0,"Not _Provided",_xlfn.XLOOKUP(C143,customers!$A$1:$A$1001,customers!$C$1:$C$1001,,0))</f>
        <v>bbett3x@google.de</v>
      </c>
      <c r="H143" s="2" t="str">
        <f>_xlfn.XLOOKUP(C143,customers!$A$1:$A$1001,customers!$G$1:$G$1001,,0)</f>
        <v>United States</v>
      </c>
      <c r="I143" t="str">
        <f>INDEX(products!$B$1:$B$49,MATCH($D143,products!$A$1:$A$49,0))</f>
        <v>Ara</v>
      </c>
      <c r="J143" t="str">
        <f>INDEX(products!$C$1:$C$49,MATCH($D143,products!$A$1:$A$49,0))</f>
        <v>L</v>
      </c>
      <c r="K143" s="4">
        <f>INDEX(products!$D$1:$D$49,MATCH($D143,products!$A$1:$A$49,0))</f>
        <v>0.2</v>
      </c>
      <c r="L143" s="5">
        <f>INDEX(products!$E$1:$E$49,MATCH($D143,products!$A$1:$A$49,0))</f>
        <v>3.8849999999999998</v>
      </c>
      <c r="M143" s="5">
        <f t="shared" si="2"/>
        <v>15.54</v>
      </c>
      <c r="N143" t="str" cm="1">
        <f t="array" ref="N143">_xlfn.IFS(I143="Rob","Robusta",I143="Exc","Excelsa",I143="Ara","Arabica",I143="Lib","Liberica")</f>
        <v>Arabica</v>
      </c>
      <c r="O143" t="str" cm="1">
        <f t="array" ref="O143">_xlfn.SWITCH($J143,"M","Medium","L","Light","D","Dark")</f>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IF(_xlfn.XLOOKUP(C144,customers!$A$1:$A$1001,customers!$C$1:$C$1001,,0)=0,"Not _Provided",_xlfn.XLOOKUP(C144,customers!$A$1:$A$1001,customers!$C$1:$C$1001,,0))</f>
        <v>Not _Provided</v>
      </c>
      <c r="H144" s="2" t="str">
        <f>_xlfn.XLOOKUP(C144,customers!$A$1:$A$1001,customers!$G$1:$G$1001,,0)</f>
        <v>Ireland</v>
      </c>
      <c r="I144" t="str">
        <f>INDEX(products!$B$1:$B$49,MATCH($D144,products!$A$1:$A$49,0))</f>
        <v>Exc</v>
      </c>
      <c r="J144" t="str">
        <f>INDEX(products!$C$1:$C$49,MATCH($D144,products!$A$1:$A$49,0))</f>
        <v>L</v>
      </c>
      <c r="K144" s="4">
        <f>INDEX(products!$D$1:$D$49,MATCH($D144,products!$A$1:$A$49,0))</f>
        <v>2.5</v>
      </c>
      <c r="L144" s="5">
        <f>INDEX(products!$E$1:$E$49,MATCH($D144,products!$A$1:$A$49,0))</f>
        <v>34.154999999999994</v>
      </c>
      <c r="M144" s="5">
        <f t="shared" si="2"/>
        <v>136.61999999999998</v>
      </c>
      <c r="N144" t="str" cm="1">
        <f t="array" ref="N144">_xlfn.IFS(I144="Rob","Robusta",I144="Exc","Excelsa",I144="Ara","Arabica",I144="Lib","Liberica")</f>
        <v>Excelsa</v>
      </c>
      <c r="O144" t="str" cm="1">
        <f t="array" ref="O144">_xlfn.SWITCH($J144,"M","Medium","L","Light","D","Dark")</f>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IF(_xlfn.XLOOKUP(C145,customers!$A$1:$A$1001,customers!$C$1:$C$1001,,0)=0,"Not _Provided",_xlfn.XLOOKUP(C145,customers!$A$1:$A$1001,customers!$C$1:$C$1001,,0))</f>
        <v>dstaite3z@scientificamerican.com</v>
      </c>
      <c r="H145" s="2" t="str">
        <f>_xlfn.XLOOKUP(C145,customers!$A$1:$A$1001,customers!$G$1:$G$1001,,0)</f>
        <v>United States</v>
      </c>
      <c r="I145" t="str">
        <f>INDEX(products!$B$1:$B$49,MATCH($D145,products!$A$1:$A$49,0))</f>
        <v>Lib</v>
      </c>
      <c r="J145" t="str">
        <f>INDEX(products!$C$1:$C$49,MATCH($D145,products!$A$1:$A$49,0))</f>
        <v>M</v>
      </c>
      <c r="K145" s="4">
        <f>INDEX(products!$D$1:$D$49,MATCH($D145,products!$A$1:$A$49,0))</f>
        <v>0.5</v>
      </c>
      <c r="L145" s="5">
        <f>INDEX(products!$E$1:$E$49,MATCH($D145,products!$A$1:$A$49,0))</f>
        <v>8.73</v>
      </c>
      <c r="M145" s="5">
        <f t="shared" si="2"/>
        <v>17.46</v>
      </c>
      <c r="N145" t="str" cm="1">
        <f t="array" ref="N145">_xlfn.IFS(I145="Rob","Robusta",I145="Exc","Excelsa",I145="Ara","Arabica",I145="Lib","Liberica")</f>
        <v>Liberica</v>
      </c>
      <c r="O145" t="str" cm="1">
        <f t="array" ref="O145">_xlfn.SWITCH($J145,"M","Medium","L","Light","D","Dark")</f>
        <v>Medium</v>
      </c>
      <c r="P145" t="str">
        <f>_xlfn.XLOOKUP(Table1[[#This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IF(_xlfn.XLOOKUP(C146,customers!$A$1:$A$1001,customers!$C$1:$C$1001,,0)=0,"Not _Provided",_xlfn.XLOOKUP(C146,customers!$A$1:$A$1001,customers!$C$1:$C$1001,,0))</f>
        <v>wkeyse40@apple.com</v>
      </c>
      <c r="H146" s="2" t="str">
        <f>_xlfn.XLOOKUP(C146,customers!$A$1:$A$1001,customers!$G$1:$G$1001,,0)</f>
        <v>United States</v>
      </c>
      <c r="I146" t="str">
        <f>INDEX(products!$B$1:$B$49,MATCH($D146,products!$A$1:$A$49,0))</f>
        <v>Exc</v>
      </c>
      <c r="J146" t="str">
        <f>INDEX(products!$C$1:$C$49,MATCH($D146,products!$A$1:$A$49,0))</f>
        <v>L</v>
      </c>
      <c r="K146" s="4">
        <f>INDEX(products!$D$1:$D$49,MATCH($D146,products!$A$1:$A$49,0))</f>
        <v>2.5</v>
      </c>
      <c r="L146" s="5">
        <f>INDEX(products!$E$1:$E$49,MATCH($D146,products!$A$1:$A$49,0))</f>
        <v>34.154999999999994</v>
      </c>
      <c r="M146" s="5">
        <f t="shared" si="2"/>
        <v>68.309999999999988</v>
      </c>
      <c r="N146" t="str" cm="1">
        <f t="array" ref="N146">_xlfn.IFS(I146="Rob","Robusta",I146="Exc","Excelsa",I146="Ara","Arabica",I146="Lib","Liberica")</f>
        <v>Excelsa</v>
      </c>
      <c r="O146" t="str" cm="1">
        <f t="array" ref="O146">_xlfn.SWITCH($J146,"M","Medium","L","Light","D","Dark")</f>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IF(_xlfn.XLOOKUP(C147,customers!$A$1:$A$1001,customers!$C$1:$C$1001,,0)=0,"Not _Provided",_xlfn.XLOOKUP(C147,customers!$A$1:$A$1001,customers!$C$1:$C$1001,,0))</f>
        <v>oclausenthue41@marriott.com</v>
      </c>
      <c r="H147" s="2" t="str">
        <f>_xlfn.XLOOKUP(C147,customers!$A$1:$A$1001,customers!$G$1:$G$1001,,0)</f>
        <v>United States</v>
      </c>
      <c r="I147" t="str">
        <f>INDEX(products!$B$1:$B$49,MATCH($D147,products!$A$1:$A$49,0))</f>
        <v>Lib</v>
      </c>
      <c r="J147" t="str">
        <f>INDEX(products!$C$1:$C$49,MATCH($D147,products!$A$1:$A$49,0))</f>
        <v>M</v>
      </c>
      <c r="K147" s="4">
        <f>INDEX(products!$D$1:$D$49,MATCH($D147,products!$A$1:$A$49,0))</f>
        <v>0.2</v>
      </c>
      <c r="L147" s="5">
        <f>INDEX(products!$E$1:$E$49,MATCH($D147,products!$A$1:$A$49,0))</f>
        <v>4.3650000000000002</v>
      </c>
      <c r="M147" s="5">
        <f t="shared" si="2"/>
        <v>17.46</v>
      </c>
      <c r="N147" t="str" cm="1">
        <f t="array" ref="N147">_xlfn.IFS(I147="Rob","Robusta",I147="Exc","Excelsa",I147="Ara","Arabica",I147="Lib","Liberica")</f>
        <v>Liberica</v>
      </c>
      <c r="O147" t="str" cm="1">
        <f t="array" ref="O147">_xlfn.SWITCH($J147,"M","Medium","L","Light","D","Dark")</f>
        <v>Medium</v>
      </c>
      <c r="P147" t="str">
        <f>_xlfn.XLOOKUP(Table1[[#This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IF(_xlfn.XLOOKUP(C148,customers!$A$1:$A$1001,customers!$C$1:$C$1001,,0)=0,"Not _Provided",_xlfn.XLOOKUP(C148,customers!$A$1:$A$1001,customers!$C$1:$C$1001,,0))</f>
        <v>lfrancisco42@fema.gov</v>
      </c>
      <c r="H148" s="2" t="str">
        <f>_xlfn.XLOOKUP(C148,customers!$A$1:$A$1001,customers!$G$1:$G$1001,,0)</f>
        <v>United States</v>
      </c>
      <c r="I148" t="str">
        <f>INDEX(products!$B$1:$B$49,MATCH($D148,products!$A$1:$A$49,0))</f>
        <v>Lib</v>
      </c>
      <c r="J148" t="str">
        <f>INDEX(products!$C$1:$C$49,MATCH($D148,products!$A$1:$A$49,0))</f>
        <v>M</v>
      </c>
      <c r="K148" s="4">
        <f>INDEX(products!$D$1:$D$49,MATCH($D148,products!$A$1:$A$49,0))</f>
        <v>1</v>
      </c>
      <c r="L148" s="5">
        <f>INDEX(products!$E$1:$E$49,MATCH($D148,products!$A$1:$A$49,0))</f>
        <v>14.55</v>
      </c>
      <c r="M148" s="5">
        <f t="shared" si="2"/>
        <v>43.650000000000006</v>
      </c>
      <c r="N148" t="str" cm="1">
        <f t="array" ref="N148">_xlfn.IFS(I148="Rob","Robusta",I148="Exc","Excelsa",I148="Ara","Arabica",I148="Lib","Liberica")</f>
        <v>Liberica</v>
      </c>
      <c r="O148" t="str" cm="1">
        <f t="array" ref="O148">_xlfn.SWITCH($J148,"M","Medium","L","Light","D","Dark")</f>
        <v>Medium</v>
      </c>
      <c r="P148" t="str">
        <f>_xlfn.XLOOKUP(Table1[[#This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IF(_xlfn.XLOOKUP(C149,customers!$A$1:$A$1001,customers!$C$1:$C$1001,,0)=0,"Not _Provided",_xlfn.XLOOKUP(C149,customers!$A$1:$A$1001,customers!$C$1:$C$1001,,0))</f>
        <v>lfrancisco42@fema.gov</v>
      </c>
      <c r="H149" s="2" t="str">
        <f>_xlfn.XLOOKUP(C149,customers!$A$1:$A$1001,customers!$G$1:$G$1001,,0)</f>
        <v>United States</v>
      </c>
      <c r="I149" t="str">
        <f>INDEX(products!$B$1:$B$49,MATCH($D149,products!$A$1:$A$49,0))</f>
        <v>Exc</v>
      </c>
      <c r="J149" t="str">
        <f>INDEX(products!$C$1:$C$49,MATCH($D149,products!$A$1:$A$49,0))</f>
        <v>M</v>
      </c>
      <c r="K149" s="4">
        <f>INDEX(products!$D$1:$D$49,MATCH($D149,products!$A$1:$A$49,0))</f>
        <v>1</v>
      </c>
      <c r="L149" s="5">
        <f>INDEX(products!$E$1:$E$49,MATCH($D149,products!$A$1:$A$49,0))</f>
        <v>13.75</v>
      </c>
      <c r="M149" s="5">
        <f t="shared" si="2"/>
        <v>27.5</v>
      </c>
      <c r="N149" t="str" cm="1">
        <f t="array" ref="N149">_xlfn.IFS(I149="Rob","Robusta",I149="Exc","Excelsa",I149="Ara","Arabica",I149="Lib","Liberica")</f>
        <v>Excelsa</v>
      </c>
      <c r="O149" t="str" cm="1">
        <f t="array" ref="O149">_xlfn.SWITCH($J149,"M","Medium","L","Light","D","Dark")</f>
        <v>Medium</v>
      </c>
      <c r="P149" t="str">
        <f>_xlfn.XLOOKUP(Table1[[#This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IF(_xlfn.XLOOKUP(C150,customers!$A$1:$A$1001,customers!$C$1:$C$1001,,0)=0,"Not _Provided",_xlfn.XLOOKUP(C150,customers!$A$1:$A$1001,customers!$C$1:$C$1001,,0))</f>
        <v>gskingle44@clickbank.net</v>
      </c>
      <c r="H150" s="2" t="str">
        <f>_xlfn.XLOOKUP(C150,customers!$A$1:$A$1001,customers!$G$1:$G$1001,,0)</f>
        <v>United States</v>
      </c>
      <c r="I150" t="str">
        <f>INDEX(products!$B$1:$B$49,MATCH($D150,products!$A$1:$A$49,0))</f>
        <v>Exc</v>
      </c>
      <c r="J150" t="str">
        <f>INDEX(products!$C$1:$C$49,MATCH($D150,products!$A$1:$A$49,0))</f>
        <v>D</v>
      </c>
      <c r="K150" s="4">
        <f>INDEX(products!$D$1:$D$49,MATCH($D150,products!$A$1:$A$49,0))</f>
        <v>0.2</v>
      </c>
      <c r="L150" s="5">
        <f>INDEX(products!$E$1:$E$49,MATCH($D150,products!$A$1:$A$49,0))</f>
        <v>3.645</v>
      </c>
      <c r="M150" s="5">
        <f t="shared" si="2"/>
        <v>18.225000000000001</v>
      </c>
      <c r="N150" t="str" cm="1">
        <f t="array" ref="N150">_xlfn.IFS(I150="Rob","Robusta",I150="Exc","Excelsa",I150="Ara","Arabica",I150="Lib","Liberica")</f>
        <v>Excelsa</v>
      </c>
      <c r="O150" t="str" cm="1">
        <f t="array" ref="O150">_xlfn.SWITCH($J150,"M","Medium","L","Light","D","Dark")</f>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IF(_xlfn.XLOOKUP(C151,customers!$A$1:$A$1001,customers!$C$1:$C$1001,,0)=0,"Not _Provided",_xlfn.XLOOKUP(C151,customers!$A$1:$A$1001,customers!$C$1:$C$1001,,0))</f>
        <v>Not _Provided</v>
      </c>
      <c r="H151" s="2" t="str">
        <f>_xlfn.XLOOKUP(C151,customers!$A$1:$A$1001,customers!$G$1:$G$1001,,0)</f>
        <v>United States</v>
      </c>
      <c r="I151" t="str">
        <f>INDEX(products!$B$1:$B$49,MATCH($D151,products!$A$1:$A$49,0))</f>
        <v>Ara</v>
      </c>
      <c r="J151" t="str">
        <f>INDEX(products!$C$1:$C$49,MATCH($D151,products!$A$1:$A$49,0))</f>
        <v>M</v>
      </c>
      <c r="K151" s="4">
        <f>INDEX(products!$D$1:$D$49,MATCH($D151,products!$A$1:$A$49,0))</f>
        <v>2.5</v>
      </c>
      <c r="L151" s="5">
        <f>INDEX(products!$E$1:$E$49,MATCH($D151,products!$A$1:$A$49,0))</f>
        <v>25.874999999999996</v>
      </c>
      <c r="M151" s="5">
        <f t="shared" si="2"/>
        <v>51.749999999999993</v>
      </c>
      <c r="N151" t="str" cm="1">
        <f t="array" ref="N151">_xlfn.IFS(I151="Rob","Robusta",I151="Exc","Excelsa",I151="Ara","Arabica",I151="Lib","Liberica")</f>
        <v>Arabica</v>
      </c>
      <c r="O151" t="str" cm="1">
        <f t="array" ref="O151">_xlfn.SWITCH($J151,"M","Medium","L","Light","D","Dark")</f>
        <v>Medium</v>
      </c>
      <c r="P151" t="str">
        <f>_xlfn.XLOOKUP(Table1[[#This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IF(_xlfn.XLOOKUP(C152,customers!$A$1:$A$1001,customers!$C$1:$C$1001,,0)=0,"Not _Provided",_xlfn.XLOOKUP(C152,customers!$A$1:$A$1001,customers!$C$1:$C$1001,,0))</f>
        <v>jbalsillie46@princeton.edu</v>
      </c>
      <c r="H152" s="2" t="str">
        <f>_xlfn.XLOOKUP(C152,customers!$A$1:$A$1001,customers!$G$1:$G$1001,,0)</f>
        <v>United States</v>
      </c>
      <c r="I152" t="str">
        <f>INDEX(products!$B$1:$B$49,MATCH($D152,products!$A$1:$A$49,0))</f>
        <v>Lib</v>
      </c>
      <c r="J152" t="str">
        <f>INDEX(products!$C$1:$C$49,MATCH($D152,products!$A$1:$A$49,0))</f>
        <v>D</v>
      </c>
      <c r="K152" s="4">
        <f>INDEX(products!$D$1:$D$49,MATCH($D152,products!$A$1:$A$49,0))</f>
        <v>1</v>
      </c>
      <c r="L152" s="5">
        <f>INDEX(products!$E$1:$E$49,MATCH($D152,products!$A$1:$A$49,0))</f>
        <v>12.95</v>
      </c>
      <c r="M152" s="5">
        <f t="shared" si="2"/>
        <v>12.95</v>
      </c>
      <c r="N152" t="str" cm="1">
        <f t="array" ref="N152">_xlfn.IFS(I152="Rob","Robusta",I152="Exc","Excelsa",I152="Ara","Arabica",I152="Lib","Liberica")</f>
        <v>Liberica</v>
      </c>
      <c r="O152" t="str" cm="1">
        <f t="array" ref="O152">_xlfn.SWITCH($J152,"M","Medium","L","Light","D","Dark")</f>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IF(_xlfn.XLOOKUP(C153,customers!$A$1:$A$1001,customers!$C$1:$C$1001,,0)=0,"Not _Provided",_xlfn.XLOOKUP(C153,customers!$A$1:$A$1001,customers!$C$1:$C$1001,,0))</f>
        <v>Not _Provided</v>
      </c>
      <c r="H153" s="2" t="str">
        <f>_xlfn.XLOOKUP(C153,customers!$A$1:$A$1001,customers!$G$1:$G$1001,,0)</f>
        <v>United States</v>
      </c>
      <c r="I153" t="str">
        <f>INDEX(products!$B$1:$B$49,MATCH($D153,products!$A$1:$A$49,0))</f>
        <v>Ara</v>
      </c>
      <c r="J153" t="str">
        <f>INDEX(products!$C$1:$C$49,MATCH($D153,products!$A$1:$A$49,0))</f>
        <v>M</v>
      </c>
      <c r="K153" s="4">
        <f>INDEX(products!$D$1:$D$49,MATCH($D153,products!$A$1:$A$49,0))</f>
        <v>1</v>
      </c>
      <c r="L153" s="5">
        <f>INDEX(products!$E$1:$E$49,MATCH($D153,products!$A$1:$A$49,0))</f>
        <v>11.25</v>
      </c>
      <c r="M153" s="5">
        <f t="shared" si="2"/>
        <v>33.75</v>
      </c>
      <c r="N153" t="str" cm="1">
        <f t="array" ref="N153">_xlfn.IFS(I153="Rob","Robusta",I153="Exc","Excelsa",I153="Ara","Arabica",I153="Lib","Liberica")</f>
        <v>Arabica</v>
      </c>
      <c r="O153" t="str" cm="1">
        <f t="array" ref="O153">_xlfn.SWITCH($J153,"M","Medium","L","Light","D","Dark")</f>
        <v>Medium</v>
      </c>
      <c r="P153" t="str">
        <f>_xlfn.XLOOKUP(Table1[[#This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IF(_xlfn.XLOOKUP(C154,customers!$A$1:$A$1001,customers!$C$1:$C$1001,,0)=0,"Not _Provided",_xlfn.XLOOKUP(C154,customers!$A$1:$A$1001,customers!$C$1:$C$1001,,0))</f>
        <v>bleffek48@ning.com</v>
      </c>
      <c r="H154" s="2" t="str">
        <f>_xlfn.XLOOKUP(C154,customers!$A$1:$A$1001,customers!$G$1:$G$1001,,0)</f>
        <v>United States</v>
      </c>
      <c r="I154" t="str">
        <f>INDEX(products!$B$1:$B$49,MATCH($D154,products!$A$1:$A$49,0))</f>
        <v>Rob</v>
      </c>
      <c r="J154" t="str">
        <f>INDEX(products!$C$1:$C$49,MATCH($D154,products!$A$1:$A$49,0))</f>
        <v>M</v>
      </c>
      <c r="K154" s="4">
        <f>INDEX(products!$D$1:$D$49,MATCH($D154,products!$A$1:$A$49,0))</f>
        <v>2.5</v>
      </c>
      <c r="L154" s="5">
        <f>INDEX(products!$E$1:$E$49,MATCH($D154,products!$A$1:$A$49,0))</f>
        <v>22.884999999999998</v>
      </c>
      <c r="M154" s="5">
        <f t="shared" si="2"/>
        <v>68.655000000000001</v>
      </c>
      <c r="N154" t="str" cm="1">
        <f t="array" ref="N154">_xlfn.IFS(I154="Rob","Robusta",I154="Exc","Excelsa",I154="Ara","Arabica",I154="Lib","Liberica")</f>
        <v>Robusta</v>
      </c>
      <c r="O154" t="str" cm="1">
        <f t="array" ref="O154">_xlfn.SWITCH($J154,"M","Medium","L","Light","D","Dark")</f>
        <v>Medium</v>
      </c>
      <c r="P154" t="str">
        <f>_xlfn.XLOOKUP(Table1[[#This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IF(_xlfn.XLOOKUP(C155,customers!$A$1:$A$1001,customers!$C$1:$C$1001,,0)=0,"Not _Provided",_xlfn.XLOOKUP(C155,customers!$A$1:$A$1001,customers!$C$1:$C$1001,,0))</f>
        <v>Not _Provided</v>
      </c>
      <c r="H155" s="2" t="str">
        <f>_xlfn.XLOOKUP(C155,customers!$A$1:$A$1001,customers!$G$1:$G$1001,,0)</f>
        <v>United States</v>
      </c>
      <c r="I155" t="str">
        <f>INDEX(products!$B$1:$B$49,MATCH($D155,products!$A$1:$A$49,0))</f>
        <v>Rob</v>
      </c>
      <c r="J155" t="str">
        <f>INDEX(products!$C$1:$C$49,MATCH($D155,products!$A$1:$A$49,0))</f>
        <v>D</v>
      </c>
      <c r="K155" s="4">
        <f>INDEX(products!$D$1:$D$49,MATCH($D155,products!$A$1:$A$49,0))</f>
        <v>0.2</v>
      </c>
      <c r="L155" s="5">
        <f>INDEX(products!$E$1:$E$49,MATCH($D155,products!$A$1:$A$49,0))</f>
        <v>2.6849999999999996</v>
      </c>
      <c r="M155" s="5">
        <f t="shared" si="2"/>
        <v>2.6849999999999996</v>
      </c>
      <c r="N155" t="str" cm="1">
        <f t="array" ref="N155">_xlfn.IFS(I155="Rob","Robusta",I155="Exc","Excelsa",I155="Ara","Arabica",I155="Lib","Liberica")</f>
        <v>Robusta</v>
      </c>
      <c r="O155" t="str" cm="1">
        <f t="array" ref="O155">_xlfn.SWITCH($J155,"M","Medium","L","Light","D","Dark")</f>
        <v>Dark</v>
      </c>
      <c r="P155" t="str">
        <f>_xlfn.XLOOKUP(Table1[[#This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IF(_xlfn.XLOOKUP(C156,customers!$A$1:$A$1001,customers!$C$1:$C$1001,,0)=0,"Not _Provided",_xlfn.XLOOKUP(C156,customers!$A$1:$A$1001,customers!$C$1:$C$1001,,0))</f>
        <v>jpray4a@youtube.com</v>
      </c>
      <c r="H156" s="2" t="str">
        <f>_xlfn.XLOOKUP(C156,customers!$A$1:$A$1001,customers!$G$1:$G$1001,,0)</f>
        <v>United States</v>
      </c>
      <c r="I156" t="str">
        <f>INDEX(products!$B$1:$B$49,MATCH($D156,products!$A$1:$A$49,0))</f>
        <v>Ara</v>
      </c>
      <c r="J156" t="str">
        <f>INDEX(products!$C$1:$C$49,MATCH($D156,products!$A$1:$A$49,0))</f>
        <v>D</v>
      </c>
      <c r="K156" s="4">
        <f>INDEX(products!$D$1:$D$49,MATCH($D156,products!$A$1:$A$49,0))</f>
        <v>2.5</v>
      </c>
      <c r="L156" s="5">
        <f>INDEX(products!$E$1:$E$49,MATCH($D156,products!$A$1:$A$49,0))</f>
        <v>22.884999999999998</v>
      </c>
      <c r="M156" s="5">
        <f t="shared" si="2"/>
        <v>114.42499999999998</v>
      </c>
      <c r="N156" t="str" cm="1">
        <f t="array" ref="N156">_xlfn.IFS(I156="Rob","Robusta",I156="Exc","Excelsa",I156="Ara","Arabica",I156="Lib","Liberica")</f>
        <v>Arabica</v>
      </c>
      <c r="O156" t="str" cm="1">
        <f t="array" ref="O156">_xlfn.SWITCH($J156,"M","Medium","L","Light","D","Dark")</f>
        <v>Dark</v>
      </c>
      <c r="P156" t="str">
        <f>_xlfn.XLOOKUP(Table1[[#This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IF(_xlfn.XLOOKUP(C157,customers!$A$1:$A$1001,customers!$C$1:$C$1001,,0)=0,"Not _Provided",_xlfn.XLOOKUP(C157,customers!$A$1:$A$1001,customers!$C$1:$C$1001,,0))</f>
        <v>gholborn4b@ow.ly</v>
      </c>
      <c r="H157" s="2" t="str">
        <f>_xlfn.XLOOKUP(C157,customers!$A$1:$A$1001,customers!$G$1:$G$1001,,0)</f>
        <v>United States</v>
      </c>
      <c r="I157" t="str">
        <f>INDEX(products!$B$1:$B$49,MATCH($D157,products!$A$1:$A$49,0))</f>
        <v>Ara</v>
      </c>
      <c r="J157" t="str">
        <f>INDEX(products!$C$1:$C$49,MATCH($D157,products!$A$1:$A$49,0))</f>
        <v>M</v>
      </c>
      <c r="K157" s="4">
        <f>INDEX(products!$D$1:$D$49,MATCH($D157,products!$A$1:$A$49,0))</f>
        <v>2.5</v>
      </c>
      <c r="L157" s="5">
        <f>INDEX(products!$E$1:$E$49,MATCH($D157,products!$A$1:$A$49,0))</f>
        <v>25.874999999999996</v>
      </c>
      <c r="M157" s="5">
        <f t="shared" si="2"/>
        <v>155.24999999999997</v>
      </c>
      <c r="N157" t="str" cm="1">
        <f t="array" ref="N157">_xlfn.IFS(I157="Rob","Robusta",I157="Exc","Excelsa",I157="Ara","Arabica",I157="Lib","Liberica")</f>
        <v>Arabica</v>
      </c>
      <c r="O157" t="str" cm="1">
        <f t="array" ref="O157">_xlfn.SWITCH($J157,"M","Medium","L","Light","D","Dark")</f>
        <v>Medium</v>
      </c>
      <c r="P157" t="str">
        <f>_xlfn.XLOOKUP(Table1[[#This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IF(_xlfn.XLOOKUP(C158,customers!$A$1:$A$1001,customers!$C$1:$C$1001,,0)=0,"Not _Provided",_xlfn.XLOOKUP(C158,customers!$A$1:$A$1001,customers!$C$1:$C$1001,,0))</f>
        <v>fkeinrat4c@dailymail.co.uk</v>
      </c>
      <c r="H158" s="2" t="str">
        <f>_xlfn.XLOOKUP(C158,customers!$A$1:$A$1001,customers!$G$1:$G$1001,,0)</f>
        <v>United States</v>
      </c>
      <c r="I158" t="str">
        <f>INDEX(products!$B$1:$B$49,MATCH($D158,products!$A$1:$A$49,0))</f>
        <v>Ara</v>
      </c>
      <c r="J158" t="str">
        <f>INDEX(products!$C$1:$C$49,MATCH($D158,products!$A$1:$A$49,0))</f>
        <v>M</v>
      </c>
      <c r="K158" s="4">
        <f>INDEX(products!$D$1:$D$49,MATCH($D158,products!$A$1:$A$49,0))</f>
        <v>2.5</v>
      </c>
      <c r="L158" s="5">
        <f>INDEX(products!$E$1:$E$49,MATCH($D158,products!$A$1:$A$49,0))</f>
        <v>25.874999999999996</v>
      </c>
      <c r="M158" s="5">
        <f t="shared" si="2"/>
        <v>77.624999999999986</v>
      </c>
      <c r="N158" t="str" cm="1">
        <f t="array" ref="N158">_xlfn.IFS(I158="Rob","Robusta",I158="Exc","Excelsa",I158="Ara","Arabica",I158="Lib","Liberica")</f>
        <v>Arabica</v>
      </c>
      <c r="O158" t="str" cm="1">
        <f t="array" ref="O158">_xlfn.SWITCH($J158,"M","Medium","L","Light","D","Dark")</f>
        <v>Medium</v>
      </c>
      <c r="P158" t="str">
        <f>_xlfn.XLOOKUP(Table1[[#This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IF(_xlfn.XLOOKUP(C159,customers!$A$1:$A$1001,customers!$C$1:$C$1001,,0)=0,"Not _Provided",_xlfn.XLOOKUP(C159,customers!$A$1:$A$1001,customers!$C$1:$C$1001,,0))</f>
        <v>pyea4d@aol.com</v>
      </c>
      <c r="H159" s="2" t="str">
        <f>_xlfn.XLOOKUP(C159,customers!$A$1:$A$1001,customers!$G$1:$G$1001,,0)</f>
        <v>Ireland</v>
      </c>
      <c r="I159" t="str">
        <f>INDEX(products!$B$1:$B$49,MATCH($D159,products!$A$1:$A$49,0))</f>
        <v>Rob</v>
      </c>
      <c r="J159" t="str">
        <f>INDEX(products!$C$1:$C$49,MATCH($D159,products!$A$1:$A$49,0))</f>
        <v>D</v>
      </c>
      <c r="K159" s="4">
        <f>INDEX(products!$D$1:$D$49,MATCH($D159,products!$A$1:$A$49,0))</f>
        <v>2.5</v>
      </c>
      <c r="L159" s="5">
        <f>INDEX(products!$E$1:$E$49,MATCH($D159,products!$A$1:$A$49,0))</f>
        <v>20.584999999999997</v>
      </c>
      <c r="M159" s="5">
        <f t="shared" si="2"/>
        <v>61.754999999999995</v>
      </c>
      <c r="N159" t="str" cm="1">
        <f t="array" ref="N159">_xlfn.IFS(I159="Rob","Robusta",I159="Exc","Excelsa",I159="Ara","Arabica",I159="Lib","Liberica")</f>
        <v>Robusta</v>
      </c>
      <c r="O159" t="str" cm="1">
        <f t="array" ref="O159">_xlfn.SWITCH($J159,"M","Medium","L","Light","D","Dark")</f>
        <v>Dark</v>
      </c>
      <c r="P159" t="str">
        <f>_xlfn.XLOOKUP(Table1[[#This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IF(_xlfn.XLOOKUP(C160,customers!$A$1:$A$1001,customers!$C$1:$C$1001,,0)=0,"Not _Provided",_xlfn.XLOOKUP(C160,customers!$A$1:$A$1001,customers!$C$1:$C$1001,,0))</f>
        <v>Not _Provided</v>
      </c>
      <c r="H160" s="2" t="str">
        <f>_xlfn.XLOOKUP(C160,customers!$A$1:$A$1001,customers!$G$1:$G$1001,,0)</f>
        <v>United States</v>
      </c>
      <c r="I160" t="str">
        <f>INDEX(products!$B$1:$B$49,MATCH($D160,products!$A$1:$A$49,0))</f>
        <v>Rob</v>
      </c>
      <c r="J160" t="str">
        <f>INDEX(products!$C$1:$C$49,MATCH($D160,products!$A$1:$A$49,0))</f>
        <v>D</v>
      </c>
      <c r="K160" s="4">
        <f>INDEX(products!$D$1:$D$49,MATCH($D160,products!$A$1:$A$49,0))</f>
        <v>2.5</v>
      </c>
      <c r="L160" s="5">
        <f>INDEX(products!$E$1:$E$49,MATCH($D160,products!$A$1:$A$49,0))</f>
        <v>20.584999999999997</v>
      </c>
      <c r="M160" s="5">
        <f t="shared" si="2"/>
        <v>123.50999999999999</v>
      </c>
      <c r="N160" t="str" cm="1">
        <f t="array" ref="N160">_xlfn.IFS(I160="Rob","Robusta",I160="Exc","Excelsa",I160="Ara","Arabica",I160="Lib","Liberica")</f>
        <v>Robusta</v>
      </c>
      <c r="O160" t="str" cm="1">
        <f t="array" ref="O160">_xlfn.SWITCH($J160,"M","Medium","L","Light","D","Dark")</f>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IF(_xlfn.XLOOKUP(C161,customers!$A$1:$A$1001,customers!$C$1:$C$1001,,0)=0,"Not _Provided",_xlfn.XLOOKUP(C161,customers!$A$1:$A$1001,customers!$C$1:$C$1001,,0))</f>
        <v>Not _Provided</v>
      </c>
      <c r="H161" s="2" t="str">
        <f>_xlfn.XLOOKUP(C161,customers!$A$1:$A$1001,customers!$G$1:$G$1001,,0)</f>
        <v>United States</v>
      </c>
      <c r="I161" t="str">
        <f>INDEX(products!$B$1:$B$49,MATCH($D161,products!$A$1:$A$49,0))</f>
        <v>Lib</v>
      </c>
      <c r="J161" t="str">
        <f>INDEX(products!$C$1:$C$49,MATCH($D161,products!$A$1:$A$49,0))</f>
        <v>L</v>
      </c>
      <c r="K161" s="4">
        <f>INDEX(products!$D$1:$D$49,MATCH($D161,products!$A$1:$A$49,0))</f>
        <v>2.5</v>
      </c>
      <c r="L161" s="5">
        <f>INDEX(products!$E$1:$E$49,MATCH($D161,products!$A$1:$A$49,0))</f>
        <v>36.454999999999998</v>
      </c>
      <c r="M161" s="5">
        <f t="shared" si="2"/>
        <v>218.73</v>
      </c>
      <c r="N161" t="str" cm="1">
        <f t="array" ref="N161">_xlfn.IFS(I161="Rob","Robusta",I161="Exc","Excelsa",I161="Ara","Arabica",I161="Lib","Liberica")</f>
        <v>Liberica</v>
      </c>
      <c r="O161" t="str" cm="1">
        <f t="array" ref="O161">_xlfn.SWITCH($J161,"M","Medium","L","Light","D","Dark")</f>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IF(_xlfn.XLOOKUP(C162,customers!$A$1:$A$1001,customers!$C$1:$C$1001,,0)=0,"Not _Provided",_xlfn.XLOOKUP(C162,customers!$A$1:$A$1001,customers!$C$1:$C$1001,,0))</f>
        <v>kswede4g@addthis.com</v>
      </c>
      <c r="H162" s="2" t="str">
        <f>_xlfn.XLOOKUP(C162,customers!$A$1:$A$1001,customers!$G$1:$G$1001,,0)</f>
        <v>United States</v>
      </c>
      <c r="I162" t="str">
        <f>INDEX(products!$B$1:$B$49,MATCH($D162,products!$A$1:$A$49,0))</f>
        <v>Exc</v>
      </c>
      <c r="J162" t="str">
        <f>INDEX(products!$C$1:$C$49,MATCH($D162,products!$A$1:$A$49,0))</f>
        <v>M</v>
      </c>
      <c r="K162" s="4">
        <f>INDEX(products!$D$1:$D$49,MATCH($D162,products!$A$1:$A$49,0))</f>
        <v>0.5</v>
      </c>
      <c r="L162" s="5">
        <f>INDEX(products!$E$1:$E$49,MATCH($D162,products!$A$1:$A$49,0))</f>
        <v>8.25</v>
      </c>
      <c r="M162" s="5">
        <f t="shared" si="2"/>
        <v>33</v>
      </c>
      <c r="N162" t="str" cm="1">
        <f t="array" ref="N162">_xlfn.IFS(I162="Rob","Robusta",I162="Exc","Excelsa",I162="Ara","Arabica",I162="Lib","Liberica")</f>
        <v>Excelsa</v>
      </c>
      <c r="O162" t="str" cm="1">
        <f t="array" ref="O162">_xlfn.SWITCH($J162,"M","Medium","L","Light","D","Dark")</f>
        <v>Medium</v>
      </c>
      <c r="P162" t="str">
        <f>_xlfn.XLOOKUP(Table1[[#This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IF(_xlfn.XLOOKUP(C163,customers!$A$1:$A$1001,customers!$C$1:$C$1001,,0)=0,"Not _Provided",_xlfn.XLOOKUP(C163,customers!$A$1:$A$1001,customers!$C$1:$C$1001,,0))</f>
        <v>lrubrow4h@microsoft.com</v>
      </c>
      <c r="H163" s="2" t="str">
        <f>_xlfn.XLOOKUP(C163,customers!$A$1:$A$1001,customers!$G$1:$G$1001,,0)</f>
        <v>United States</v>
      </c>
      <c r="I163" t="str">
        <f>INDEX(products!$B$1:$B$49,MATCH($D163,products!$A$1:$A$49,0))</f>
        <v>Ara</v>
      </c>
      <c r="J163" t="str">
        <f>INDEX(products!$C$1:$C$49,MATCH($D163,products!$A$1:$A$49,0))</f>
        <v>L</v>
      </c>
      <c r="K163" s="4">
        <f>INDEX(products!$D$1:$D$49,MATCH($D163,products!$A$1:$A$49,0))</f>
        <v>0.5</v>
      </c>
      <c r="L163" s="5">
        <f>INDEX(products!$E$1:$E$49,MATCH($D163,products!$A$1:$A$49,0))</f>
        <v>7.77</v>
      </c>
      <c r="M163" s="5">
        <f t="shared" si="2"/>
        <v>23.31</v>
      </c>
      <c r="N163" t="str" cm="1">
        <f t="array" ref="N163">_xlfn.IFS(I163="Rob","Robusta",I163="Exc","Excelsa",I163="Ara","Arabica",I163="Lib","Liberica")</f>
        <v>Arabica</v>
      </c>
      <c r="O163" t="str" cm="1">
        <f t="array" ref="O163">_xlfn.SWITCH($J163,"M","Medium","L","Light","D","Dark")</f>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IF(_xlfn.XLOOKUP(C164,customers!$A$1:$A$1001,customers!$C$1:$C$1001,,0)=0,"Not _Provided",_xlfn.XLOOKUP(C164,customers!$A$1:$A$1001,customers!$C$1:$C$1001,,0))</f>
        <v>dtift4i@netvibes.com</v>
      </c>
      <c r="H164" s="2" t="str">
        <f>_xlfn.XLOOKUP(C164,customers!$A$1:$A$1001,customers!$G$1:$G$1001,,0)</f>
        <v>United States</v>
      </c>
      <c r="I164" t="str">
        <f>INDEX(products!$B$1:$B$49,MATCH($D164,products!$A$1:$A$49,0))</f>
        <v>Exc</v>
      </c>
      <c r="J164" t="str">
        <f>INDEX(products!$C$1:$C$49,MATCH($D164,products!$A$1:$A$49,0))</f>
        <v>D</v>
      </c>
      <c r="K164" s="4">
        <f>INDEX(products!$D$1:$D$49,MATCH($D164,products!$A$1:$A$49,0))</f>
        <v>0.5</v>
      </c>
      <c r="L164" s="5">
        <f>INDEX(products!$E$1:$E$49,MATCH($D164,products!$A$1:$A$49,0))</f>
        <v>7.29</v>
      </c>
      <c r="M164" s="5">
        <f t="shared" si="2"/>
        <v>21.87</v>
      </c>
      <c r="N164" t="str" cm="1">
        <f t="array" ref="N164">_xlfn.IFS(I164="Rob","Robusta",I164="Exc","Excelsa",I164="Ara","Arabica",I164="Lib","Liberica")</f>
        <v>Excelsa</v>
      </c>
      <c r="O164" t="str" cm="1">
        <f t="array" ref="O164">_xlfn.SWITCH($J164,"M","Medium","L","Light","D","Dark")</f>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IF(_xlfn.XLOOKUP(C165,customers!$A$1:$A$1001,customers!$C$1:$C$1001,,0)=0,"Not _Provided",_xlfn.XLOOKUP(C165,customers!$A$1:$A$1001,customers!$C$1:$C$1001,,0))</f>
        <v>gschonfeld4j@oracle.com</v>
      </c>
      <c r="H165" s="2" t="str">
        <f>_xlfn.XLOOKUP(C165,customers!$A$1:$A$1001,customers!$G$1:$G$1001,,0)</f>
        <v>United States</v>
      </c>
      <c r="I165" t="str">
        <f>INDEX(products!$B$1:$B$49,MATCH($D165,products!$A$1:$A$49,0))</f>
        <v>Rob</v>
      </c>
      <c r="J165" t="str">
        <f>INDEX(products!$C$1:$C$49,MATCH($D165,products!$A$1:$A$49,0))</f>
        <v>D</v>
      </c>
      <c r="K165" s="4">
        <f>INDEX(products!$D$1:$D$49,MATCH($D165,products!$A$1:$A$49,0))</f>
        <v>0.2</v>
      </c>
      <c r="L165" s="5">
        <f>INDEX(products!$E$1:$E$49,MATCH($D165,products!$A$1:$A$49,0))</f>
        <v>2.6849999999999996</v>
      </c>
      <c r="M165" s="5">
        <f t="shared" si="2"/>
        <v>16.11</v>
      </c>
      <c r="N165" t="str" cm="1">
        <f t="array" ref="N165">_xlfn.IFS(I165="Rob","Robusta",I165="Exc","Excelsa",I165="Ara","Arabica",I165="Lib","Liberica")</f>
        <v>Robusta</v>
      </c>
      <c r="O165" t="str" cm="1">
        <f t="array" ref="O165">_xlfn.SWITCH($J165,"M","Medium","L","Light","D","Dark")</f>
        <v>Dark</v>
      </c>
      <c r="P165" t="str">
        <f>_xlfn.XLOOKUP(Table1[[#This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IF(_xlfn.XLOOKUP(C166,customers!$A$1:$A$1001,customers!$C$1:$C$1001,,0)=0,"Not _Provided",_xlfn.XLOOKUP(C166,customers!$A$1:$A$1001,customers!$C$1:$C$1001,,0))</f>
        <v>cfeye4k@google.co.jp</v>
      </c>
      <c r="H166" s="2" t="str">
        <f>_xlfn.XLOOKUP(C166,customers!$A$1:$A$1001,customers!$G$1:$G$1001,,0)</f>
        <v>Ireland</v>
      </c>
      <c r="I166" t="str">
        <f>INDEX(products!$B$1:$B$49,MATCH($D166,products!$A$1:$A$49,0))</f>
        <v>Exc</v>
      </c>
      <c r="J166" t="str">
        <f>INDEX(products!$C$1:$C$49,MATCH($D166,products!$A$1:$A$49,0))</f>
        <v>D</v>
      </c>
      <c r="K166" s="4">
        <f>INDEX(products!$D$1:$D$49,MATCH($D166,products!$A$1:$A$49,0))</f>
        <v>0.5</v>
      </c>
      <c r="L166" s="5">
        <f>INDEX(products!$E$1:$E$49,MATCH($D166,products!$A$1:$A$49,0))</f>
        <v>7.29</v>
      </c>
      <c r="M166" s="5">
        <f t="shared" si="2"/>
        <v>29.16</v>
      </c>
      <c r="N166" t="str" cm="1">
        <f t="array" ref="N166">_xlfn.IFS(I166="Rob","Robusta",I166="Exc","Excelsa",I166="Ara","Arabica",I166="Lib","Liberica")</f>
        <v>Excelsa</v>
      </c>
      <c r="O166" t="str" cm="1">
        <f t="array" ref="O166">_xlfn.SWITCH($J166,"M","Medium","L","Light","D","Dark")</f>
        <v>Dark</v>
      </c>
      <c r="P166" t="str">
        <f>_xlfn.XLOOKUP(Table1[[#This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IF(_xlfn.XLOOKUP(C167,customers!$A$1:$A$1001,customers!$C$1:$C$1001,,0)=0,"Not _Provided",_xlfn.XLOOKUP(C167,customers!$A$1:$A$1001,customers!$C$1:$C$1001,,0))</f>
        <v>Not _Provided</v>
      </c>
      <c r="H167" s="2" t="str">
        <f>_xlfn.XLOOKUP(C167,customers!$A$1:$A$1001,customers!$G$1:$G$1001,,0)</f>
        <v>United States</v>
      </c>
      <c r="I167" t="str">
        <f>INDEX(products!$B$1:$B$49,MATCH($D167,products!$A$1:$A$49,0))</f>
        <v>Rob</v>
      </c>
      <c r="J167" t="str">
        <f>INDEX(products!$C$1:$C$49,MATCH($D167,products!$A$1:$A$49,0))</f>
        <v>D</v>
      </c>
      <c r="K167" s="4">
        <f>INDEX(products!$D$1:$D$49,MATCH($D167,products!$A$1:$A$49,0))</f>
        <v>1</v>
      </c>
      <c r="L167" s="5">
        <f>INDEX(products!$E$1:$E$49,MATCH($D167,products!$A$1:$A$49,0))</f>
        <v>8.9499999999999993</v>
      </c>
      <c r="M167" s="5">
        <f t="shared" si="2"/>
        <v>53.699999999999996</v>
      </c>
      <c r="N167" t="str" cm="1">
        <f t="array" ref="N167">_xlfn.IFS(I167="Rob","Robusta",I167="Exc","Excelsa",I167="Ara","Arabica",I167="Lib","Liberica")</f>
        <v>Robusta</v>
      </c>
      <c r="O167" t="str" cm="1">
        <f t="array" ref="O167">_xlfn.SWITCH($J167,"M","Medium","L","Light","D","Dark")</f>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IF(_xlfn.XLOOKUP(C168,customers!$A$1:$A$1001,customers!$C$1:$C$1001,,0)=0,"Not _Provided",_xlfn.XLOOKUP(C168,customers!$A$1:$A$1001,customers!$C$1:$C$1001,,0))</f>
        <v>Not _Provided</v>
      </c>
      <c r="H168" s="2" t="str">
        <f>_xlfn.XLOOKUP(C168,customers!$A$1:$A$1001,customers!$G$1:$G$1001,,0)</f>
        <v>United States</v>
      </c>
      <c r="I168" t="str">
        <f>INDEX(products!$B$1:$B$49,MATCH($D168,products!$A$1:$A$49,0))</f>
        <v>Rob</v>
      </c>
      <c r="J168" t="str">
        <f>INDEX(products!$C$1:$C$49,MATCH($D168,products!$A$1:$A$49,0))</f>
        <v>D</v>
      </c>
      <c r="K168" s="4">
        <f>INDEX(products!$D$1:$D$49,MATCH($D168,products!$A$1:$A$49,0))</f>
        <v>0.5</v>
      </c>
      <c r="L168" s="5">
        <f>INDEX(products!$E$1:$E$49,MATCH($D168,products!$A$1:$A$49,0))</f>
        <v>5.3699999999999992</v>
      </c>
      <c r="M168" s="5">
        <f t="shared" si="2"/>
        <v>26.849999999999994</v>
      </c>
      <c r="N168" t="str" cm="1">
        <f t="array" ref="N168">_xlfn.IFS(I168="Rob","Robusta",I168="Exc","Excelsa",I168="Ara","Arabica",I168="Lib","Liberica")</f>
        <v>Robusta</v>
      </c>
      <c r="O168" t="str" cm="1">
        <f t="array" ref="O168">_xlfn.SWITCH($J168,"M","Medium","L","Light","D","Dark")</f>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IF(_xlfn.XLOOKUP(C169,customers!$A$1:$A$1001,customers!$C$1:$C$1001,,0)=0,"Not _Provided",_xlfn.XLOOKUP(C169,customers!$A$1:$A$1001,customers!$C$1:$C$1001,,0))</f>
        <v>tfero4n@comsenz.com</v>
      </c>
      <c r="H169" s="2" t="str">
        <f>_xlfn.XLOOKUP(C169,customers!$A$1:$A$1001,customers!$G$1:$G$1001,,0)</f>
        <v>United States</v>
      </c>
      <c r="I169" t="str">
        <f>INDEX(products!$B$1:$B$49,MATCH($D169,products!$A$1:$A$49,0))</f>
        <v>Exc</v>
      </c>
      <c r="J169" t="str">
        <f>INDEX(products!$C$1:$C$49,MATCH($D169,products!$A$1:$A$49,0))</f>
        <v>M</v>
      </c>
      <c r="K169" s="4">
        <f>INDEX(products!$D$1:$D$49,MATCH($D169,products!$A$1:$A$49,0))</f>
        <v>0.5</v>
      </c>
      <c r="L169" s="5">
        <f>INDEX(products!$E$1:$E$49,MATCH($D169,products!$A$1:$A$49,0))</f>
        <v>8.25</v>
      </c>
      <c r="M169" s="5">
        <f t="shared" si="2"/>
        <v>41.25</v>
      </c>
      <c r="N169" t="str" cm="1">
        <f t="array" ref="N169">_xlfn.IFS(I169="Rob","Robusta",I169="Exc","Excelsa",I169="Ara","Arabica",I169="Lib","Liberica")</f>
        <v>Excelsa</v>
      </c>
      <c r="O169" t="str" cm="1">
        <f t="array" ref="O169">_xlfn.SWITCH($J169,"M","Medium","L","Light","D","Dark")</f>
        <v>Medium</v>
      </c>
      <c r="P169" t="str">
        <f>_xlfn.XLOOKUP(Table1[[#This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IF(_xlfn.XLOOKUP(C170,customers!$A$1:$A$1001,customers!$C$1:$C$1001,,0)=0,"Not _Provided",_xlfn.XLOOKUP(C170,customers!$A$1:$A$1001,customers!$C$1:$C$1001,,0))</f>
        <v>Not _Provided</v>
      </c>
      <c r="H170" s="2" t="str">
        <f>_xlfn.XLOOKUP(C170,customers!$A$1:$A$1001,customers!$G$1:$G$1001,,0)</f>
        <v>Ireland</v>
      </c>
      <c r="I170" t="str">
        <f>INDEX(products!$B$1:$B$49,MATCH($D170,products!$A$1:$A$49,0))</f>
        <v>Ara</v>
      </c>
      <c r="J170" t="str">
        <f>INDEX(products!$C$1:$C$49,MATCH($D170,products!$A$1:$A$49,0))</f>
        <v>M</v>
      </c>
      <c r="K170" s="4">
        <f>INDEX(products!$D$1:$D$49,MATCH($D170,products!$A$1:$A$49,0))</f>
        <v>0.5</v>
      </c>
      <c r="L170" s="5">
        <f>INDEX(products!$E$1:$E$49,MATCH($D170,products!$A$1:$A$49,0))</f>
        <v>6.75</v>
      </c>
      <c r="M170" s="5">
        <f t="shared" si="2"/>
        <v>40.5</v>
      </c>
      <c r="N170" t="str" cm="1">
        <f t="array" ref="N170">_xlfn.IFS(I170="Rob","Robusta",I170="Exc","Excelsa",I170="Ara","Arabica",I170="Lib","Liberica")</f>
        <v>Arabica</v>
      </c>
      <c r="O170" t="str" cm="1">
        <f t="array" ref="O170">_xlfn.SWITCH($J170,"M","Medium","L","Light","D","Dark")</f>
        <v>Medium</v>
      </c>
      <c r="P170" t="str">
        <f>_xlfn.XLOOKUP(Table1[[#This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IF(_xlfn.XLOOKUP(C171,customers!$A$1:$A$1001,customers!$C$1:$C$1001,,0)=0,"Not _Provided",_xlfn.XLOOKUP(C171,customers!$A$1:$A$1001,customers!$C$1:$C$1001,,0))</f>
        <v>fdauney4p@sphinn.com</v>
      </c>
      <c r="H171" s="2" t="str">
        <f>_xlfn.XLOOKUP(C171,customers!$A$1:$A$1001,customers!$G$1:$G$1001,,0)</f>
        <v>Ireland</v>
      </c>
      <c r="I171" t="str">
        <f>INDEX(products!$B$1:$B$49,MATCH($D171,products!$A$1:$A$49,0))</f>
        <v>Rob</v>
      </c>
      <c r="J171" t="str">
        <f>INDEX(products!$C$1:$C$49,MATCH($D171,products!$A$1:$A$49,0))</f>
        <v>D</v>
      </c>
      <c r="K171" s="4">
        <f>INDEX(products!$D$1:$D$49,MATCH($D171,products!$A$1:$A$49,0))</f>
        <v>1</v>
      </c>
      <c r="L171" s="5">
        <f>INDEX(products!$E$1:$E$49,MATCH($D171,products!$A$1:$A$49,0))</f>
        <v>8.9499999999999993</v>
      </c>
      <c r="M171" s="5">
        <f t="shared" si="2"/>
        <v>17.899999999999999</v>
      </c>
      <c r="N171" t="str" cm="1">
        <f t="array" ref="N171">_xlfn.IFS(I171="Rob","Robusta",I171="Exc","Excelsa",I171="Ara","Arabica",I171="Lib","Liberica")</f>
        <v>Robusta</v>
      </c>
      <c r="O171" t="str" cm="1">
        <f t="array" ref="O171">_xlfn.SWITCH($J171,"M","Medium","L","Light","D","Dark")</f>
        <v>Dark</v>
      </c>
      <c r="P171" t="str">
        <f>_xlfn.XLOOKUP(Table1[[#This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IF(_xlfn.XLOOKUP(C172,customers!$A$1:$A$1001,customers!$C$1:$C$1001,,0)=0,"Not _Provided",_xlfn.XLOOKUP(C172,customers!$A$1:$A$1001,customers!$C$1:$C$1001,,0))</f>
        <v>searley4q@youku.com</v>
      </c>
      <c r="H172" s="2" t="str">
        <f>_xlfn.XLOOKUP(C172,customers!$A$1:$A$1001,customers!$G$1:$G$1001,,0)</f>
        <v>United Kingdom</v>
      </c>
      <c r="I172" t="str">
        <f>INDEX(products!$B$1:$B$49,MATCH($D172,products!$A$1:$A$49,0))</f>
        <v>Exc</v>
      </c>
      <c r="J172" t="str">
        <f>INDEX(products!$C$1:$C$49,MATCH($D172,products!$A$1:$A$49,0))</f>
        <v>L</v>
      </c>
      <c r="K172" s="4">
        <f>INDEX(products!$D$1:$D$49,MATCH($D172,products!$A$1:$A$49,0))</f>
        <v>2.5</v>
      </c>
      <c r="L172" s="5">
        <f>INDEX(products!$E$1:$E$49,MATCH($D172,products!$A$1:$A$49,0))</f>
        <v>34.154999999999994</v>
      </c>
      <c r="M172" s="5">
        <f t="shared" si="2"/>
        <v>68.309999999999988</v>
      </c>
      <c r="N172" t="str" cm="1">
        <f t="array" ref="N172">_xlfn.IFS(I172="Rob","Robusta",I172="Exc","Excelsa",I172="Ara","Arabica",I172="Lib","Liberica")</f>
        <v>Excelsa</v>
      </c>
      <c r="O172" t="str" cm="1">
        <f t="array" ref="O172">_xlfn.SWITCH($J172,"M","Medium","L","Light","D","Dark")</f>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IF(_xlfn.XLOOKUP(C173,customers!$A$1:$A$1001,customers!$C$1:$C$1001,,0)=0,"Not _Provided",_xlfn.XLOOKUP(C173,customers!$A$1:$A$1001,customers!$C$1:$C$1001,,0))</f>
        <v>mchamberlayne4r@bigcartel.com</v>
      </c>
      <c r="H173" s="2" t="str">
        <f>_xlfn.XLOOKUP(C173,customers!$A$1:$A$1001,customers!$G$1:$G$1001,,0)</f>
        <v>United States</v>
      </c>
      <c r="I173" t="str">
        <f>INDEX(products!$B$1:$B$49,MATCH($D173,products!$A$1:$A$49,0))</f>
        <v>Exc</v>
      </c>
      <c r="J173" t="str">
        <f>INDEX(products!$C$1:$C$49,MATCH($D173,products!$A$1:$A$49,0))</f>
        <v>M</v>
      </c>
      <c r="K173" s="4">
        <f>INDEX(products!$D$1:$D$49,MATCH($D173,products!$A$1:$A$49,0))</f>
        <v>2.5</v>
      </c>
      <c r="L173" s="5">
        <f>INDEX(products!$E$1:$E$49,MATCH($D173,products!$A$1:$A$49,0))</f>
        <v>31.624999999999996</v>
      </c>
      <c r="M173" s="5">
        <f t="shared" si="2"/>
        <v>63.249999999999993</v>
      </c>
      <c r="N173" t="str" cm="1">
        <f t="array" ref="N173">_xlfn.IFS(I173="Rob","Robusta",I173="Exc","Excelsa",I173="Ara","Arabica",I173="Lib","Liberica")</f>
        <v>Excelsa</v>
      </c>
      <c r="O173" t="str" cm="1">
        <f t="array" ref="O173">_xlfn.SWITCH($J173,"M","Medium","L","Light","D","Dark")</f>
        <v>Medium</v>
      </c>
      <c r="P173" t="str">
        <f>_xlfn.XLOOKUP(Table1[[#This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IF(_xlfn.XLOOKUP(C174,customers!$A$1:$A$1001,customers!$C$1:$C$1001,,0)=0,"Not _Provided",_xlfn.XLOOKUP(C174,customers!$A$1:$A$1001,customers!$C$1:$C$1001,,0))</f>
        <v>bflaherty4s@moonfruit.com</v>
      </c>
      <c r="H174" s="2" t="str">
        <f>_xlfn.XLOOKUP(C174,customers!$A$1:$A$1001,customers!$G$1:$G$1001,,0)</f>
        <v>Ireland</v>
      </c>
      <c r="I174" t="str">
        <f>INDEX(products!$B$1:$B$49,MATCH($D174,products!$A$1:$A$49,0))</f>
        <v>Exc</v>
      </c>
      <c r="J174" t="str">
        <f>INDEX(products!$C$1:$C$49,MATCH($D174,products!$A$1:$A$49,0))</f>
        <v>D</v>
      </c>
      <c r="K174" s="4">
        <f>INDEX(products!$D$1:$D$49,MATCH($D174,products!$A$1:$A$49,0))</f>
        <v>0.5</v>
      </c>
      <c r="L174" s="5">
        <f>INDEX(products!$E$1:$E$49,MATCH($D174,products!$A$1:$A$49,0))</f>
        <v>7.29</v>
      </c>
      <c r="M174" s="5">
        <f t="shared" si="2"/>
        <v>21.87</v>
      </c>
      <c r="N174" t="str" cm="1">
        <f t="array" ref="N174">_xlfn.IFS(I174="Rob","Robusta",I174="Exc","Excelsa",I174="Ara","Arabica",I174="Lib","Liberica")</f>
        <v>Excelsa</v>
      </c>
      <c r="O174" t="str" cm="1">
        <f t="array" ref="O174">_xlfn.SWITCH($J174,"M","Medium","L","Light","D","Dark")</f>
        <v>Dark</v>
      </c>
      <c r="P174" t="str">
        <f>_xlfn.XLOOKUP(Table1[[#This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IF(_xlfn.XLOOKUP(C175,customers!$A$1:$A$1001,customers!$C$1:$C$1001,,0)=0,"Not _Provided",_xlfn.XLOOKUP(C175,customers!$A$1:$A$1001,customers!$C$1:$C$1001,,0))</f>
        <v>ocolbeck4t@sina.com.cn</v>
      </c>
      <c r="H175" s="2" t="str">
        <f>_xlfn.XLOOKUP(C175,customers!$A$1:$A$1001,customers!$G$1:$G$1001,,0)</f>
        <v>United States</v>
      </c>
      <c r="I175" t="str">
        <f>INDEX(products!$B$1:$B$49,MATCH($D175,products!$A$1:$A$49,0))</f>
        <v>Rob</v>
      </c>
      <c r="J175" t="str">
        <f>INDEX(products!$C$1:$C$49,MATCH($D175,products!$A$1:$A$49,0))</f>
        <v>M</v>
      </c>
      <c r="K175" s="4">
        <f>INDEX(products!$D$1:$D$49,MATCH($D175,products!$A$1:$A$49,0))</f>
        <v>2.5</v>
      </c>
      <c r="L175" s="5">
        <f>INDEX(products!$E$1:$E$49,MATCH($D175,products!$A$1:$A$49,0))</f>
        <v>22.884999999999998</v>
      </c>
      <c r="M175" s="5">
        <f t="shared" si="2"/>
        <v>91.539999999999992</v>
      </c>
      <c r="N175" t="str" cm="1">
        <f t="array" ref="N175">_xlfn.IFS(I175="Rob","Robusta",I175="Exc","Excelsa",I175="Ara","Arabica",I175="Lib","Liberica")</f>
        <v>Robusta</v>
      </c>
      <c r="O175" t="str" cm="1">
        <f t="array" ref="O175">_xlfn.SWITCH($J175,"M","Medium","L","Light","D","Dark")</f>
        <v>Medium</v>
      </c>
      <c r="P175" t="str">
        <f>_xlfn.XLOOKUP(Table1[[#This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IF(_xlfn.XLOOKUP(C176,customers!$A$1:$A$1001,customers!$C$1:$C$1001,,0)=0,"Not _Provided",_xlfn.XLOOKUP(C176,customers!$A$1:$A$1001,customers!$C$1:$C$1001,,0))</f>
        <v>Not _Provided</v>
      </c>
      <c r="H176" s="2" t="str">
        <f>_xlfn.XLOOKUP(C176,customers!$A$1:$A$1001,customers!$G$1:$G$1001,,0)</f>
        <v>United States</v>
      </c>
      <c r="I176" t="str">
        <f>INDEX(products!$B$1:$B$49,MATCH($D176,products!$A$1:$A$49,0))</f>
        <v>Exc</v>
      </c>
      <c r="J176" t="str">
        <f>INDEX(products!$C$1:$C$49,MATCH($D176,products!$A$1:$A$49,0))</f>
        <v>L</v>
      </c>
      <c r="K176" s="4">
        <f>INDEX(products!$D$1:$D$49,MATCH($D176,products!$A$1:$A$49,0))</f>
        <v>2.5</v>
      </c>
      <c r="L176" s="5">
        <f>INDEX(products!$E$1:$E$49,MATCH($D176,products!$A$1:$A$49,0))</f>
        <v>34.154999999999994</v>
      </c>
      <c r="M176" s="5">
        <f t="shared" si="2"/>
        <v>204.92999999999995</v>
      </c>
      <c r="N176" t="str" cm="1">
        <f t="array" ref="N176">_xlfn.IFS(I176="Rob","Robusta",I176="Exc","Excelsa",I176="Ara","Arabica",I176="Lib","Liberica")</f>
        <v>Excelsa</v>
      </c>
      <c r="O176" t="str" cm="1">
        <f t="array" ref="O176">_xlfn.SWITCH($J176,"M","Medium","L","Light","D","Dark")</f>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IF(_xlfn.XLOOKUP(C177,customers!$A$1:$A$1001,customers!$C$1:$C$1001,,0)=0,"Not _Provided",_xlfn.XLOOKUP(C177,customers!$A$1:$A$1001,customers!$C$1:$C$1001,,0))</f>
        <v>ehobbing4v@nsw.gov.au</v>
      </c>
      <c r="H177" s="2" t="str">
        <f>_xlfn.XLOOKUP(C177,customers!$A$1:$A$1001,customers!$G$1:$G$1001,,0)</f>
        <v>United States</v>
      </c>
      <c r="I177" t="str">
        <f>INDEX(products!$B$1:$B$49,MATCH($D177,products!$A$1:$A$49,0))</f>
        <v>Exc</v>
      </c>
      <c r="J177" t="str">
        <f>INDEX(products!$C$1:$C$49,MATCH($D177,products!$A$1:$A$49,0))</f>
        <v>M</v>
      </c>
      <c r="K177" s="4">
        <f>INDEX(products!$D$1:$D$49,MATCH($D177,products!$A$1:$A$49,0))</f>
        <v>2.5</v>
      </c>
      <c r="L177" s="5">
        <f>INDEX(products!$E$1:$E$49,MATCH($D177,products!$A$1:$A$49,0))</f>
        <v>31.624999999999996</v>
      </c>
      <c r="M177" s="5">
        <f t="shared" si="2"/>
        <v>63.249999999999993</v>
      </c>
      <c r="N177" t="str" cm="1">
        <f t="array" ref="N177">_xlfn.IFS(I177="Rob","Robusta",I177="Exc","Excelsa",I177="Ara","Arabica",I177="Lib","Liberica")</f>
        <v>Excelsa</v>
      </c>
      <c r="O177" t="str" cm="1">
        <f t="array" ref="O177">_xlfn.SWITCH($J177,"M","Medium","L","Light","D","Dark")</f>
        <v>Medium</v>
      </c>
      <c r="P177" t="str">
        <f>_xlfn.XLOOKUP(Table1[[#This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IF(_xlfn.XLOOKUP(C178,customers!$A$1:$A$1001,customers!$C$1:$C$1001,,0)=0,"Not _Provided",_xlfn.XLOOKUP(C178,customers!$A$1:$A$1001,customers!$C$1:$C$1001,,0))</f>
        <v>othynne4w@auda.org.au</v>
      </c>
      <c r="H178" s="2" t="str">
        <f>_xlfn.XLOOKUP(C178,customers!$A$1:$A$1001,customers!$G$1:$G$1001,,0)</f>
        <v>United States</v>
      </c>
      <c r="I178" t="str">
        <f>INDEX(products!$B$1:$B$49,MATCH($D178,products!$A$1:$A$49,0))</f>
        <v>Exc</v>
      </c>
      <c r="J178" t="str">
        <f>INDEX(products!$C$1:$C$49,MATCH($D178,products!$A$1:$A$49,0))</f>
        <v>L</v>
      </c>
      <c r="K178" s="4">
        <f>INDEX(products!$D$1:$D$49,MATCH($D178,products!$A$1:$A$49,0))</f>
        <v>2.5</v>
      </c>
      <c r="L178" s="5">
        <f>INDEX(products!$E$1:$E$49,MATCH($D178,products!$A$1:$A$49,0))</f>
        <v>34.154999999999994</v>
      </c>
      <c r="M178" s="5">
        <f t="shared" si="2"/>
        <v>34.154999999999994</v>
      </c>
      <c r="N178" t="str" cm="1">
        <f t="array" ref="N178">_xlfn.IFS(I178="Rob","Robusta",I178="Exc","Excelsa",I178="Ara","Arabica",I178="Lib","Liberica")</f>
        <v>Excelsa</v>
      </c>
      <c r="O178" t="str" cm="1">
        <f t="array" ref="O178">_xlfn.SWITCH($J178,"M","Medium","L","Light","D","Dark")</f>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IF(_xlfn.XLOOKUP(C179,customers!$A$1:$A$1001,customers!$C$1:$C$1001,,0)=0,"Not _Provided",_xlfn.XLOOKUP(C179,customers!$A$1:$A$1001,customers!$C$1:$C$1001,,0))</f>
        <v>eheining4x@flickr.com</v>
      </c>
      <c r="H179" s="2" t="str">
        <f>_xlfn.XLOOKUP(C179,customers!$A$1:$A$1001,customers!$G$1:$G$1001,,0)</f>
        <v>United States</v>
      </c>
      <c r="I179" t="str">
        <f>INDEX(products!$B$1:$B$49,MATCH($D179,products!$A$1:$A$49,0))</f>
        <v>Rob</v>
      </c>
      <c r="J179" t="str">
        <f>INDEX(products!$C$1:$C$49,MATCH($D179,products!$A$1:$A$49,0))</f>
        <v>L</v>
      </c>
      <c r="K179" s="4">
        <f>INDEX(products!$D$1:$D$49,MATCH($D179,products!$A$1:$A$49,0))</f>
        <v>2.5</v>
      </c>
      <c r="L179" s="5">
        <f>INDEX(products!$E$1:$E$49,MATCH($D179,products!$A$1:$A$49,0))</f>
        <v>27.484999999999996</v>
      </c>
      <c r="M179" s="5">
        <f t="shared" si="2"/>
        <v>109.93999999999998</v>
      </c>
      <c r="N179" t="str" cm="1">
        <f t="array" ref="N179">_xlfn.IFS(I179="Rob","Robusta",I179="Exc","Excelsa",I179="Ara","Arabica",I179="Lib","Liberica")</f>
        <v>Robusta</v>
      </c>
      <c r="O179" t="str" cm="1">
        <f t="array" ref="O179">_xlfn.SWITCH($J179,"M","Medium","L","Light","D","Dark")</f>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IF(_xlfn.XLOOKUP(C180,customers!$A$1:$A$1001,customers!$C$1:$C$1001,,0)=0,"Not _Provided",_xlfn.XLOOKUP(C180,customers!$A$1:$A$1001,customers!$C$1:$C$1001,,0))</f>
        <v>kmelloi4y@imdb.com</v>
      </c>
      <c r="H180" s="2" t="str">
        <f>_xlfn.XLOOKUP(C180,customers!$A$1:$A$1001,customers!$G$1:$G$1001,,0)</f>
        <v>United States</v>
      </c>
      <c r="I180" t="str">
        <f>INDEX(products!$B$1:$B$49,MATCH($D180,products!$A$1:$A$49,0))</f>
        <v>Ara</v>
      </c>
      <c r="J180" t="str">
        <f>INDEX(products!$C$1:$C$49,MATCH($D180,products!$A$1:$A$49,0))</f>
        <v>L</v>
      </c>
      <c r="K180" s="4">
        <f>INDEX(products!$D$1:$D$49,MATCH($D180,products!$A$1:$A$49,0))</f>
        <v>1</v>
      </c>
      <c r="L180" s="5">
        <f>INDEX(products!$E$1:$E$49,MATCH($D180,products!$A$1:$A$49,0))</f>
        <v>12.95</v>
      </c>
      <c r="M180" s="5">
        <f t="shared" si="2"/>
        <v>25.9</v>
      </c>
      <c r="N180" t="str" cm="1">
        <f t="array" ref="N180">_xlfn.IFS(I180="Rob","Robusta",I180="Exc","Excelsa",I180="Ara","Arabica",I180="Lib","Liberica")</f>
        <v>Arabica</v>
      </c>
      <c r="O180" t="str" cm="1">
        <f t="array" ref="O180">_xlfn.SWITCH($J180,"M","Medium","L","Light","D","Dark")</f>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IF(_xlfn.XLOOKUP(C181,customers!$A$1:$A$1001,customers!$C$1:$C$1001,,0)=0,"Not _Provided",_xlfn.XLOOKUP(C181,customers!$A$1:$A$1001,customers!$C$1:$C$1001,,0))</f>
        <v>Not _Provided</v>
      </c>
      <c r="H181" s="2" t="str">
        <f>_xlfn.XLOOKUP(C181,customers!$A$1:$A$1001,customers!$G$1:$G$1001,,0)</f>
        <v>Ireland</v>
      </c>
      <c r="I181" t="str">
        <f>INDEX(products!$B$1:$B$49,MATCH($D181,products!$A$1:$A$49,0))</f>
        <v>Ara</v>
      </c>
      <c r="J181" t="str">
        <f>INDEX(products!$C$1:$C$49,MATCH($D181,products!$A$1:$A$49,0))</f>
        <v>D</v>
      </c>
      <c r="K181" s="4">
        <f>INDEX(products!$D$1:$D$49,MATCH($D181,products!$A$1:$A$49,0))</f>
        <v>0.2</v>
      </c>
      <c r="L181" s="5">
        <f>INDEX(products!$E$1:$E$49,MATCH($D181,products!$A$1:$A$49,0))</f>
        <v>2.9849999999999999</v>
      </c>
      <c r="M181" s="5">
        <f t="shared" si="2"/>
        <v>2.9849999999999999</v>
      </c>
      <c r="N181" t="str" cm="1">
        <f t="array" ref="N181">_xlfn.IFS(I181="Rob","Robusta",I181="Exc","Excelsa",I181="Ara","Arabica",I181="Lib","Liberica")</f>
        <v>Arabica</v>
      </c>
      <c r="O181" t="str" cm="1">
        <f t="array" ref="O181">_xlfn.SWITCH($J181,"M","Medium","L","Light","D","Dark")</f>
        <v>Dark</v>
      </c>
      <c r="P181" t="str">
        <f>_xlfn.XLOOKUP(Table1[[#This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IF(_xlfn.XLOOKUP(C182,customers!$A$1:$A$1001,customers!$C$1:$C$1001,,0)=0,"Not _Provided",_xlfn.XLOOKUP(C182,customers!$A$1:$A$1001,customers!$C$1:$C$1001,,0))</f>
        <v>amussen50@51.la</v>
      </c>
      <c r="H182" s="2" t="str">
        <f>_xlfn.XLOOKUP(C182,customers!$A$1:$A$1001,customers!$G$1:$G$1001,,0)</f>
        <v>United States</v>
      </c>
      <c r="I182" t="str">
        <f>INDEX(products!$B$1:$B$49,MATCH($D182,products!$A$1:$A$49,0))</f>
        <v>Exc</v>
      </c>
      <c r="J182" t="str">
        <f>INDEX(products!$C$1:$C$49,MATCH($D182,products!$A$1:$A$49,0))</f>
        <v>L</v>
      </c>
      <c r="K182" s="4">
        <f>INDEX(products!$D$1:$D$49,MATCH($D182,products!$A$1:$A$49,0))</f>
        <v>0.2</v>
      </c>
      <c r="L182" s="5">
        <f>INDEX(products!$E$1:$E$49,MATCH($D182,products!$A$1:$A$49,0))</f>
        <v>4.4550000000000001</v>
      </c>
      <c r="M182" s="5">
        <f t="shared" si="2"/>
        <v>22.274999999999999</v>
      </c>
      <c r="N182" t="str" cm="1">
        <f t="array" ref="N182">_xlfn.IFS(I182="Rob","Robusta",I182="Exc","Excelsa",I182="Ara","Arabica",I182="Lib","Liberica")</f>
        <v>Excelsa</v>
      </c>
      <c r="O182" t="str" cm="1">
        <f t="array" ref="O182">_xlfn.SWITCH($J182,"M","Medium","L","Light","D","Dark")</f>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IF(_xlfn.XLOOKUP(C183,customers!$A$1:$A$1001,customers!$C$1:$C$1001,,0)=0,"Not _Provided",_xlfn.XLOOKUP(C183,customers!$A$1:$A$1001,customers!$C$1:$C$1001,,0))</f>
        <v>amussen50@51.la</v>
      </c>
      <c r="H183" s="2" t="str">
        <f>_xlfn.XLOOKUP(C183,customers!$A$1:$A$1001,customers!$G$1:$G$1001,,0)</f>
        <v>United States</v>
      </c>
      <c r="I183" t="str">
        <f>INDEX(products!$B$1:$B$49,MATCH($D183,products!$A$1:$A$49,0))</f>
        <v>Ara</v>
      </c>
      <c r="J183" t="str">
        <f>INDEX(products!$C$1:$C$49,MATCH($D183,products!$A$1:$A$49,0))</f>
        <v>D</v>
      </c>
      <c r="K183" s="4">
        <f>INDEX(products!$D$1:$D$49,MATCH($D183,products!$A$1:$A$49,0))</f>
        <v>0.5</v>
      </c>
      <c r="L183" s="5">
        <f>INDEX(products!$E$1:$E$49,MATCH($D183,products!$A$1:$A$49,0))</f>
        <v>5.97</v>
      </c>
      <c r="M183" s="5">
        <f t="shared" si="2"/>
        <v>29.849999999999998</v>
      </c>
      <c r="N183" t="str" cm="1">
        <f t="array" ref="N183">_xlfn.IFS(I183="Rob","Robusta",I183="Exc","Excelsa",I183="Ara","Arabica",I183="Lib","Liberica")</f>
        <v>Arabica</v>
      </c>
      <c r="O183" t="str" cm="1">
        <f t="array" ref="O183">_xlfn.SWITCH($J183,"M","Medium","L","Light","D","Dark")</f>
        <v>Dark</v>
      </c>
      <c r="P183" t="str">
        <f>_xlfn.XLOOKUP(Table1[[#This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IF(_xlfn.XLOOKUP(C184,customers!$A$1:$A$1001,customers!$C$1:$C$1001,,0)=0,"Not _Provided",_xlfn.XLOOKUP(C184,customers!$A$1:$A$1001,customers!$C$1:$C$1001,,0))</f>
        <v>amundford52@nbcnews.com</v>
      </c>
      <c r="H184" s="2" t="str">
        <f>_xlfn.XLOOKUP(C184,customers!$A$1:$A$1001,customers!$G$1:$G$1001,,0)</f>
        <v>United States</v>
      </c>
      <c r="I184" t="str">
        <f>INDEX(products!$B$1:$B$49,MATCH($D184,products!$A$1:$A$49,0))</f>
        <v>Rob</v>
      </c>
      <c r="J184" t="str">
        <f>INDEX(products!$C$1:$C$49,MATCH($D184,products!$A$1:$A$49,0))</f>
        <v>D</v>
      </c>
      <c r="K184" s="4">
        <f>INDEX(products!$D$1:$D$49,MATCH($D184,products!$A$1:$A$49,0))</f>
        <v>0.5</v>
      </c>
      <c r="L184" s="5">
        <f>INDEX(products!$E$1:$E$49,MATCH($D184,products!$A$1:$A$49,0))</f>
        <v>5.3699999999999992</v>
      </c>
      <c r="M184" s="5">
        <f t="shared" si="2"/>
        <v>32.22</v>
      </c>
      <c r="N184" t="str" cm="1">
        <f t="array" ref="N184">_xlfn.IFS(I184="Rob","Robusta",I184="Exc","Excelsa",I184="Ara","Arabica",I184="Lib","Liberica")</f>
        <v>Robusta</v>
      </c>
      <c r="O184" t="str" cm="1">
        <f t="array" ref="O184">_xlfn.SWITCH($J184,"M","Medium","L","Light","D","Dark")</f>
        <v>Dark</v>
      </c>
      <c r="P184" t="str">
        <f>_xlfn.XLOOKUP(Table1[[#This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IF(_xlfn.XLOOKUP(C185,customers!$A$1:$A$1001,customers!$C$1:$C$1001,,0)=0,"Not _Provided",_xlfn.XLOOKUP(C185,customers!$A$1:$A$1001,customers!$C$1:$C$1001,,0))</f>
        <v>twalas53@google.ca</v>
      </c>
      <c r="H185" s="2" t="str">
        <f>_xlfn.XLOOKUP(C185,customers!$A$1:$A$1001,customers!$G$1:$G$1001,,0)</f>
        <v>United States</v>
      </c>
      <c r="I185" t="str">
        <f>INDEX(products!$B$1:$B$49,MATCH($D185,products!$A$1:$A$49,0))</f>
        <v>Exc</v>
      </c>
      <c r="J185" t="str">
        <f>INDEX(products!$C$1:$C$49,MATCH($D185,products!$A$1:$A$49,0))</f>
        <v>M</v>
      </c>
      <c r="K185" s="4">
        <f>INDEX(products!$D$1:$D$49,MATCH($D185,products!$A$1:$A$49,0))</f>
        <v>0.2</v>
      </c>
      <c r="L185" s="5">
        <f>INDEX(products!$E$1:$E$49,MATCH($D185,products!$A$1:$A$49,0))</f>
        <v>4.125</v>
      </c>
      <c r="M185" s="5">
        <f t="shared" si="2"/>
        <v>8.25</v>
      </c>
      <c r="N185" t="str" cm="1">
        <f t="array" ref="N185">_xlfn.IFS(I185="Rob","Robusta",I185="Exc","Excelsa",I185="Ara","Arabica",I185="Lib","Liberica")</f>
        <v>Excelsa</v>
      </c>
      <c r="O185" t="str" cm="1">
        <f t="array" ref="O185">_xlfn.SWITCH($J185,"M","Medium","L","Light","D","Dark")</f>
        <v>Medium</v>
      </c>
      <c r="P185" t="str">
        <f>_xlfn.XLOOKUP(Table1[[#This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IF(_xlfn.XLOOKUP(C186,customers!$A$1:$A$1001,customers!$C$1:$C$1001,,0)=0,"Not _Provided",_xlfn.XLOOKUP(C186,customers!$A$1:$A$1001,customers!$C$1:$C$1001,,0))</f>
        <v>iblazewicz54@thetimes.co.uk</v>
      </c>
      <c r="H186" s="2" t="str">
        <f>_xlfn.XLOOKUP(C186,customers!$A$1:$A$1001,customers!$G$1:$G$1001,,0)</f>
        <v>United States</v>
      </c>
      <c r="I186" t="str">
        <f>INDEX(products!$B$1:$B$49,MATCH($D186,products!$A$1:$A$49,0))</f>
        <v>Ara</v>
      </c>
      <c r="J186" t="str">
        <f>INDEX(products!$C$1:$C$49,MATCH($D186,products!$A$1:$A$49,0))</f>
        <v>L</v>
      </c>
      <c r="K186" s="4">
        <f>INDEX(products!$D$1:$D$49,MATCH($D186,products!$A$1:$A$49,0))</f>
        <v>0.5</v>
      </c>
      <c r="L186" s="5">
        <f>INDEX(products!$E$1:$E$49,MATCH($D186,products!$A$1:$A$49,0))</f>
        <v>7.77</v>
      </c>
      <c r="M186" s="5">
        <f t="shared" si="2"/>
        <v>31.08</v>
      </c>
      <c r="N186" t="str" cm="1">
        <f t="array" ref="N186">_xlfn.IFS(I186="Rob","Robusta",I186="Exc","Excelsa",I186="Ara","Arabica",I186="Lib","Liberica")</f>
        <v>Arabica</v>
      </c>
      <c r="O186" t="str" cm="1">
        <f t="array" ref="O186">_xlfn.SWITCH($J186,"M","Medium","L","Light","D","Dark")</f>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IF(_xlfn.XLOOKUP(C187,customers!$A$1:$A$1001,customers!$C$1:$C$1001,,0)=0,"Not _Provided",_xlfn.XLOOKUP(C187,customers!$A$1:$A$1001,customers!$C$1:$C$1001,,0))</f>
        <v>arizzetti55@naver.com</v>
      </c>
      <c r="H187" s="2" t="str">
        <f>_xlfn.XLOOKUP(C187,customers!$A$1:$A$1001,customers!$G$1:$G$1001,,0)</f>
        <v>United States</v>
      </c>
      <c r="I187" t="str">
        <f>INDEX(products!$B$1:$B$49,MATCH($D187,products!$A$1:$A$49,0))</f>
        <v>Exc</v>
      </c>
      <c r="J187" t="str">
        <f>INDEX(products!$C$1:$C$49,MATCH($D187,products!$A$1:$A$49,0))</f>
        <v>D</v>
      </c>
      <c r="K187" s="4">
        <f>INDEX(products!$D$1:$D$49,MATCH($D187,products!$A$1:$A$49,0))</f>
        <v>0.5</v>
      </c>
      <c r="L187" s="5">
        <f>INDEX(products!$E$1:$E$49,MATCH($D187,products!$A$1:$A$49,0))</f>
        <v>7.29</v>
      </c>
      <c r="M187" s="5">
        <f t="shared" si="2"/>
        <v>36.450000000000003</v>
      </c>
      <c r="N187" t="str" cm="1">
        <f t="array" ref="N187">_xlfn.IFS(I187="Rob","Robusta",I187="Exc","Excelsa",I187="Ara","Arabica",I187="Lib","Liberica")</f>
        <v>Excelsa</v>
      </c>
      <c r="O187" t="str" cm="1">
        <f t="array" ref="O187">_xlfn.SWITCH($J187,"M","Medium","L","Light","D","Dark")</f>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IF(_xlfn.XLOOKUP(C188,customers!$A$1:$A$1001,customers!$C$1:$C$1001,,0)=0,"Not _Provided",_xlfn.XLOOKUP(C188,customers!$A$1:$A$1001,customers!$C$1:$C$1001,,0))</f>
        <v>mmeriet56@noaa.gov</v>
      </c>
      <c r="H188" s="2" t="str">
        <f>_xlfn.XLOOKUP(C188,customers!$A$1:$A$1001,customers!$G$1:$G$1001,,0)</f>
        <v>United States</v>
      </c>
      <c r="I188" t="str">
        <f>INDEX(products!$B$1:$B$49,MATCH($D188,products!$A$1:$A$49,0))</f>
        <v>Rob</v>
      </c>
      <c r="J188" t="str">
        <f>INDEX(products!$C$1:$C$49,MATCH($D188,products!$A$1:$A$49,0))</f>
        <v>M</v>
      </c>
      <c r="K188" s="4">
        <f>INDEX(products!$D$1:$D$49,MATCH($D188,products!$A$1:$A$49,0))</f>
        <v>2.5</v>
      </c>
      <c r="L188" s="5">
        <f>INDEX(products!$E$1:$E$49,MATCH($D188,products!$A$1:$A$49,0))</f>
        <v>22.884999999999998</v>
      </c>
      <c r="M188" s="5">
        <f t="shared" si="2"/>
        <v>68.655000000000001</v>
      </c>
      <c r="N188" t="str" cm="1">
        <f t="array" ref="N188">_xlfn.IFS(I188="Rob","Robusta",I188="Exc","Excelsa",I188="Ara","Arabica",I188="Lib","Liberica")</f>
        <v>Robusta</v>
      </c>
      <c r="O188" t="str" cm="1">
        <f t="array" ref="O188">_xlfn.SWITCH($J188,"M","Medium","L","Light","D","Dark")</f>
        <v>Medium</v>
      </c>
      <c r="P188" t="str">
        <f>_xlfn.XLOOKUP(Table1[[#This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IF(_xlfn.XLOOKUP(C189,customers!$A$1:$A$1001,customers!$C$1:$C$1001,,0)=0,"Not _Provided",_xlfn.XLOOKUP(C189,customers!$A$1:$A$1001,customers!$C$1:$C$1001,,0))</f>
        <v>lpratt57@netvibes.com</v>
      </c>
      <c r="H189" s="2" t="str">
        <f>_xlfn.XLOOKUP(C189,customers!$A$1:$A$1001,customers!$G$1:$G$1001,,0)</f>
        <v>United States</v>
      </c>
      <c r="I189" t="str">
        <f>INDEX(products!$B$1:$B$49,MATCH($D189,products!$A$1:$A$49,0))</f>
        <v>Lib</v>
      </c>
      <c r="J189" t="str">
        <f>INDEX(products!$C$1:$C$49,MATCH($D189,products!$A$1:$A$49,0))</f>
        <v>M</v>
      </c>
      <c r="K189" s="4">
        <f>INDEX(products!$D$1:$D$49,MATCH($D189,products!$A$1:$A$49,0))</f>
        <v>0.5</v>
      </c>
      <c r="L189" s="5">
        <f>INDEX(products!$E$1:$E$49,MATCH($D189,products!$A$1:$A$49,0))</f>
        <v>8.73</v>
      </c>
      <c r="M189" s="5">
        <f t="shared" si="2"/>
        <v>43.650000000000006</v>
      </c>
      <c r="N189" t="str" cm="1">
        <f t="array" ref="N189">_xlfn.IFS(I189="Rob","Robusta",I189="Exc","Excelsa",I189="Ara","Arabica",I189="Lib","Liberica")</f>
        <v>Liberica</v>
      </c>
      <c r="O189" t="str" cm="1">
        <f t="array" ref="O189">_xlfn.SWITCH($J189,"M","Medium","L","Light","D","Dark")</f>
        <v>Medium</v>
      </c>
      <c r="P189" t="str">
        <f>_xlfn.XLOOKUP(Table1[[#This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IF(_xlfn.XLOOKUP(C190,customers!$A$1:$A$1001,customers!$C$1:$C$1001,,0)=0,"Not _Provided",_xlfn.XLOOKUP(C190,customers!$A$1:$A$1001,customers!$C$1:$C$1001,,0))</f>
        <v>akitchingham58@com.com</v>
      </c>
      <c r="H190" s="2" t="str">
        <f>_xlfn.XLOOKUP(C190,customers!$A$1:$A$1001,customers!$G$1:$G$1001,,0)</f>
        <v>United States</v>
      </c>
      <c r="I190" t="str">
        <f>INDEX(products!$B$1:$B$49,MATCH($D190,products!$A$1:$A$49,0))</f>
        <v>Exc</v>
      </c>
      <c r="J190" t="str">
        <f>INDEX(products!$C$1:$C$49,MATCH($D190,products!$A$1:$A$49,0))</f>
        <v>L</v>
      </c>
      <c r="K190" s="4">
        <f>INDEX(products!$D$1:$D$49,MATCH($D190,products!$A$1:$A$49,0))</f>
        <v>0.2</v>
      </c>
      <c r="L190" s="5">
        <f>INDEX(products!$E$1:$E$49,MATCH($D190,products!$A$1:$A$49,0))</f>
        <v>4.4550000000000001</v>
      </c>
      <c r="M190" s="5">
        <f t="shared" si="2"/>
        <v>4.4550000000000001</v>
      </c>
      <c r="N190" t="str" cm="1">
        <f t="array" ref="N190">_xlfn.IFS(I190="Rob","Robusta",I190="Exc","Excelsa",I190="Ara","Arabica",I190="Lib","Liberica")</f>
        <v>Excelsa</v>
      </c>
      <c r="O190" t="str" cm="1">
        <f t="array" ref="O190">_xlfn.SWITCH($J190,"M","Medium","L","Light","D","Dark")</f>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IF(_xlfn.XLOOKUP(C191,customers!$A$1:$A$1001,customers!$C$1:$C$1001,,0)=0,"Not _Provided",_xlfn.XLOOKUP(C191,customers!$A$1:$A$1001,customers!$C$1:$C$1001,,0))</f>
        <v>bbartholin59@xinhuanet.com</v>
      </c>
      <c r="H191" s="2" t="str">
        <f>_xlfn.XLOOKUP(C191,customers!$A$1:$A$1001,customers!$G$1:$G$1001,,0)</f>
        <v>United States</v>
      </c>
      <c r="I191" t="str">
        <f>INDEX(products!$B$1:$B$49,MATCH($D191,products!$A$1:$A$49,0))</f>
        <v>Lib</v>
      </c>
      <c r="J191" t="str">
        <f>INDEX(products!$C$1:$C$49,MATCH($D191,products!$A$1:$A$49,0))</f>
        <v>M</v>
      </c>
      <c r="K191" s="4">
        <f>INDEX(products!$D$1:$D$49,MATCH($D191,products!$A$1:$A$49,0))</f>
        <v>1</v>
      </c>
      <c r="L191" s="5">
        <f>INDEX(products!$E$1:$E$49,MATCH($D191,products!$A$1:$A$49,0))</f>
        <v>14.55</v>
      </c>
      <c r="M191" s="5">
        <f t="shared" si="2"/>
        <v>43.650000000000006</v>
      </c>
      <c r="N191" t="str" cm="1">
        <f t="array" ref="N191">_xlfn.IFS(I191="Rob","Robusta",I191="Exc","Excelsa",I191="Ara","Arabica",I191="Lib","Liberica")</f>
        <v>Liberica</v>
      </c>
      <c r="O191" t="str" cm="1">
        <f t="array" ref="O191">_xlfn.SWITCH($J191,"M","Medium","L","Light","D","Dark")</f>
        <v>Medium</v>
      </c>
      <c r="P191" t="str">
        <f>_xlfn.XLOOKUP(Table1[[#This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IF(_xlfn.XLOOKUP(C192,customers!$A$1:$A$1001,customers!$C$1:$C$1001,,0)=0,"Not _Provided",_xlfn.XLOOKUP(C192,customers!$A$1:$A$1001,customers!$C$1:$C$1001,,0))</f>
        <v>mprinn5a@usa.gov</v>
      </c>
      <c r="H192" s="2" t="str">
        <f>_xlfn.XLOOKUP(C192,customers!$A$1:$A$1001,customers!$G$1:$G$1001,,0)</f>
        <v>United States</v>
      </c>
      <c r="I192" t="str">
        <f>INDEX(products!$B$1:$B$49,MATCH($D192,products!$A$1:$A$49,0))</f>
        <v>Lib</v>
      </c>
      <c r="J192" t="str">
        <f>INDEX(products!$C$1:$C$49,MATCH($D192,products!$A$1:$A$49,0))</f>
        <v>M</v>
      </c>
      <c r="K192" s="4">
        <f>INDEX(products!$D$1:$D$49,MATCH($D192,products!$A$1:$A$49,0))</f>
        <v>2.5</v>
      </c>
      <c r="L192" s="5">
        <f>INDEX(products!$E$1:$E$49,MATCH($D192,products!$A$1:$A$49,0))</f>
        <v>33.464999999999996</v>
      </c>
      <c r="M192" s="5">
        <f t="shared" si="2"/>
        <v>33.464999999999996</v>
      </c>
      <c r="N192" t="str" cm="1">
        <f t="array" ref="N192">_xlfn.IFS(I192="Rob","Robusta",I192="Exc","Excelsa",I192="Ara","Arabica",I192="Lib","Liberica")</f>
        <v>Liberica</v>
      </c>
      <c r="O192" t="str" cm="1">
        <f t="array" ref="O192">_xlfn.SWITCH($J192,"M","Medium","L","Light","D","Dark")</f>
        <v>Medium</v>
      </c>
      <c r="P192" t="str">
        <f>_xlfn.XLOOKUP(Table1[[#This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IF(_xlfn.XLOOKUP(C193,customers!$A$1:$A$1001,customers!$C$1:$C$1001,,0)=0,"Not _Provided",_xlfn.XLOOKUP(C193,customers!$A$1:$A$1001,customers!$C$1:$C$1001,,0))</f>
        <v>abaudino5b@netvibes.com</v>
      </c>
      <c r="H193" s="2" t="str">
        <f>_xlfn.XLOOKUP(C193,customers!$A$1:$A$1001,customers!$G$1:$G$1001,,0)</f>
        <v>United States</v>
      </c>
      <c r="I193" t="str">
        <f>INDEX(products!$B$1:$B$49,MATCH($D193,products!$A$1:$A$49,0))</f>
        <v>Lib</v>
      </c>
      <c r="J193" t="str">
        <f>INDEX(products!$C$1:$C$49,MATCH($D193,products!$A$1:$A$49,0))</f>
        <v>D</v>
      </c>
      <c r="K193" s="4">
        <f>INDEX(products!$D$1:$D$49,MATCH($D193,products!$A$1:$A$49,0))</f>
        <v>0.2</v>
      </c>
      <c r="L193" s="5">
        <f>INDEX(products!$E$1:$E$49,MATCH($D193,products!$A$1:$A$49,0))</f>
        <v>3.8849999999999998</v>
      </c>
      <c r="M193" s="5">
        <f t="shared" si="2"/>
        <v>19.424999999999997</v>
      </c>
      <c r="N193" t="str" cm="1">
        <f t="array" ref="N193">_xlfn.IFS(I193="Rob","Robusta",I193="Exc","Excelsa",I193="Ara","Arabica",I193="Lib","Liberica")</f>
        <v>Liberica</v>
      </c>
      <c r="O193" t="str" cm="1">
        <f t="array" ref="O193">_xlfn.SWITCH($J193,"M","Medium","L","Light","D","Dark")</f>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IF(_xlfn.XLOOKUP(C194,customers!$A$1:$A$1001,customers!$C$1:$C$1001,,0)=0,"Not _Provided",_xlfn.XLOOKUP(C194,customers!$A$1:$A$1001,customers!$C$1:$C$1001,,0))</f>
        <v>ppetrushanko5c@blinklist.com</v>
      </c>
      <c r="H194" s="2" t="str">
        <f>_xlfn.XLOOKUP(C194,customers!$A$1:$A$1001,customers!$G$1:$G$1001,,0)</f>
        <v>Ireland</v>
      </c>
      <c r="I194" t="str">
        <f>INDEX(products!$B$1:$B$49,MATCH($D194,products!$A$1:$A$49,0))</f>
        <v>Exc</v>
      </c>
      <c r="J194" t="str">
        <f>INDEX(products!$C$1:$C$49,MATCH($D194,products!$A$1:$A$49,0))</f>
        <v>D</v>
      </c>
      <c r="K194" s="4">
        <f>INDEX(products!$D$1:$D$49,MATCH($D194,products!$A$1:$A$49,0))</f>
        <v>1</v>
      </c>
      <c r="L194" s="5">
        <f>INDEX(products!$E$1:$E$49,MATCH($D194,products!$A$1:$A$49,0))</f>
        <v>12.15</v>
      </c>
      <c r="M194" s="5">
        <f t="shared" si="2"/>
        <v>72.900000000000006</v>
      </c>
      <c r="N194" t="str" cm="1">
        <f t="array" ref="N194">_xlfn.IFS(I194="Rob","Robusta",I194="Exc","Excelsa",I194="Ara","Arabica",I194="Lib","Liberica")</f>
        <v>Excelsa</v>
      </c>
      <c r="O194" t="str" cm="1">
        <f t="array" ref="O194">_xlfn.SWITCH($J194,"M","Medium","L","Light","D","Dark")</f>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IF(_xlfn.XLOOKUP(C195,customers!$A$1:$A$1001,customers!$C$1:$C$1001,,0)=0,"Not _Provided",_xlfn.XLOOKUP(C195,customers!$A$1:$A$1001,customers!$C$1:$C$1001,,0))</f>
        <v>Not _Provided</v>
      </c>
      <c r="H195" s="2" t="str">
        <f>_xlfn.XLOOKUP(C195,customers!$A$1:$A$1001,customers!$G$1:$G$1001,,0)</f>
        <v>United States</v>
      </c>
      <c r="I195" t="str">
        <f>INDEX(products!$B$1:$B$49,MATCH($D195,products!$A$1:$A$49,0))</f>
        <v>Exc</v>
      </c>
      <c r="J195" t="str">
        <f>INDEX(products!$C$1:$C$49,MATCH($D195,products!$A$1:$A$49,0))</f>
        <v>L</v>
      </c>
      <c r="K195" s="4">
        <f>INDEX(products!$D$1:$D$49,MATCH($D195,products!$A$1:$A$49,0))</f>
        <v>1</v>
      </c>
      <c r="L195" s="5">
        <f>INDEX(products!$E$1:$E$49,MATCH($D195,products!$A$1:$A$49,0))</f>
        <v>14.85</v>
      </c>
      <c r="M195" s="5">
        <f t="shared" ref="M195:M258" si="3">E195*L195</f>
        <v>44.55</v>
      </c>
      <c r="N195" t="str" cm="1">
        <f t="array" ref="N195">_xlfn.IFS(I195="Rob","Robusta",I195="Exc","Excelsa",I195="Ara","Arabica",I195="Lib","Liberica")</f>
        <v>Excelsa</v>
      </c>
      <c r="O195" t="str" cm="1">
        <f t="array" ref="O195">_xlfn.SWITCH($J195,"M","Medium","L","Light","D","Dark")</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IF(_xlfn.XLOOKUP(C196,customers!$A$1:$A$1001,customers!$C$1:$C$1001,,0)=0,"Not _Provided",_xlfn.XLOOKUP(C196,customers!$A$1:$A$1001,customers!$C$1:$C$1001,,0))</f>
        <v>elaird5e@bing.com</v>
      </c>
      <c r="H196" s="2" t="str">
        <f>_xlfn.XLOOKUP(C196,customers!$A$1:$A$1001,customers!$G$1:$G$1001,,0)</f>
        <v>United States</v>
      </c>
      <c r="I196" t="str">
        <f>INDEX(products!$B$1:$B$49,MATCH($D196,products!$A$1:$A$49,0))</f>
        <v>Exc</v>
      </c>
      <c r="J196" t="str">
        <f>INDEX(products!$C$1:$C$49,MATCH($D196,products!$A$1:$A$49,0))</f>
        <v>D</v>
      </c>
      <c r="K196" s="4">
        <f>INDEX(products!$D$1:$D$49,MATCH($D196,products!$A$1:$A$49,0))</f>
        <v>0.5</v>
      </c>
      <c r="L196" s="5">
        <f>INDEX(products!$E$1:$E$49,MATCH($D196,products!$A$1:$A$49,0))</f>
        <v>7.29</v>
      </c>
      <c r="M196" s="5">
        <f t="shared" si="3"/>
        <v>36.450000000000003</v>
      </c>
      <c r="N196" t="str" cm="1">
        <f t="array" ref="N196">_xlfn.IFS(I196="Rob","Robusta",I196="Exc","Excelsa",I196="Ara","Arabica",I196="Lib","Liberica")</f>
        <v>Excelsa</v>
      </c>
      <c r="O196" t="str" cm="1">
        <f t="array" ref="O196">_xlfn.SWITCH($J196,"M","Medium","L","Light","D","Dark")</f>
        <v>Dark</v>
      </c>
      <c r="P196" t="str">
        <f>_xlfn.XLOOKUP(Table1[[#This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IF(_xlfn.XLOOKUP(C197,customers!$A$1:$A$1001,customers!$C$1:$C$1001,,0)=0,"Not _Provided",_xlfn.XLOOKUP(C197,customers!$A$1:$A$1001,customers!$C$1:$C$1001,,0))</f>
        <v>mhowsden5f@infoseek.co.jp</v>
      </c>
      <c r="H197" s="2" t="str">
        <f>_xlfn.XLOOKUP(C197,customers!$A$1:$A$1001,customers!$G$1:$G$1001,,0)</f>
        <v>United States</v>
      </c>
      <c r="I197" t="str">
        <f>INDEX(products!$B$1:$B$49,MATCH($D197,products!$A$1:$A$49,0))</f>
        <v>Ara</v>
      </c>
      <c r="J197" t="str">
        <f>INDEX(products!$C$1:$C$49,MATCH($D197,products!$A$1:$A$49,0))</f>
        <v>L</v>
      </c>
      <c r="K197" s="4">
        <f>INDEX(products!$D$1:$D$49,MATCH($D197,products!$A$1:$A$49,0))</f>
        <v>1</v>
      </c>
      <c r="L197" s="5">
        <f>INDEX(products!$E$1:$E$49,MATCH($D197,products!$A$1:$A$49,0))</f>
        <v>12.95</v>
      </c>
      <c r="M197" s="5">
        <f t="shared" si="3"/>
        <v>38.849999999999994</v>
      </c>
      <c r="N197" t="str" cm="1">
        <f t="array" ref="N197">_xlfn.IFS(I197="Rob","Robusta",I197="Exc","Excelsa",I197="Ara","Arabica",I197="Lib","Liberica")</f>
        <v>Arabica</v>
      </c>
      <c r="O197" t="str" cm="1">
        <f t="array" ref="O197">_xlfn.SWITCH($J197,"M","Medium","L","Light","D","Dark")</f>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IF(_xlfn.XLOOKUP(C198,customers!$A$1:$A$1001,customers!$C$1:$C$1001,,0)=0,"Not _Provided",_xlfn.XLOOKUP(C198,customers!$A$1:$A$1001,customers!$C$1:$C$1001,,0))</f>
        <v>ncuttler5g@parallels.com</v>
      </c>
      <c r="H198" s="2" t="str">
        <f>_xlfn.XLOOKUP(C198,customers!$A$1:$A$1001,customers!$G$1:$G$1001,,0)</f>
        <v>United States</v>
      </c>
      <c r="I198" t="str">
        <f>INDEX(products!$B$1:$B$49,MATCH($D198,products!$A$1:$A$49,0))</f>
        <v>Exc</v>
      </c>
      <c r="J198" t="str">
        <f>INDEX(products!$C$1:$C$49,MATCH($D198,products!$A$1:$A$49,0))</f>
        <v>L</v>
      </c>
      <c r="K198" s="4">
        <f>INDEX(products!$D$1:$D$49,MATCH($D198,products!$A$1:$A$49,0))</f>
        <v>0.5</v>
      </c>
      <c r="L198" s="5">
        <f>INDEX(products!$E$1:$E$49,MATCH($D198,products!$A$1:$A$49,0))</f>
        <v>8.91</v>
      </c>
      <c r="M198" s="5">
        <f t="shared" si="3"/>
        <v>53.46</v>
      </c>
      <c r="N198" t="str" cm="1">
        <f t="array" ref="N198">_xlfn.IFS(I198="Rob","Robusta",I198="Exc","Excelsa",I198="Ara","Arabica",I198="Lib","Liberica")</f>
        <v>Excelsa</v>
      </c>
      <c r="O198" t="str" cm="1">
        <f t="array" ref="O198">_xlfn.SWITCH($J198,"M","Medium","L","Light","D","Dark")</f>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IF(_xlfn.XLOOKUP(C199,customers!$A$1:$A$1001,customers!$C$1:$C$1001,,0)=0,"Not _Provided",_xlfn.XLOOKUP(C199,customers!$A$1:$A$1001,customers!$C$1:$C$1001,,0))</f>
        <v>ncuttler5g@parallels.com</v>
      </c>
      <c r="H199" s="2" t="str">
        <f>_xlfn.XLOOKUP(C199,customers!$A$1:$A$1001,customers!$G$1:$G$1001,,0)</f>
        <v>United States</v>
      </c>
      <c r="I199" t="str">
        <f>INDEX(products!$B$1:$B$49,MATCH($D199,products!$A$1:$A$49,0))</f>
        <v>Lib</v>
      </c>
      <c r="J199" t="str">
        <f>INDEX(products!$C$1:$C$49,MATCH($D199,products!$A$1:$A$49,0))</f>
        <v>D</v>
      </c>
      <c r="K199" s="4">
        <f>INDEX(products!$D$1:$D$49,MATCH($D199,products!$A$1:$A$49,0))</f>
        <v>2.5</v>
      </c>
      <c r="L199" s="5">
        <f>INDEX(products!$E$1:$E$49,MATCH($D199,products!$A$1:$A$49,0))</f>
        <v>29.784999999999997</v>
      </c>
      <c r="M199" s="5">
        <f t="shared" si="3"/>
        <v>59.569999999999993</v>
      </c>
      <c r="N199" t="str" cm="1">
        <f t="array" ref="N199">_xlfn.IFS(I199="Rob","Robusta",I199="Exc","Excelsa",I199="Ara","Arabica",I199="Lib","Liberica")</f>
        <v>Liberica</v>
      </c>
      <c r="O199" t="str" cm="1">
        <f t="array" ref="O199">_xlfn.SWITCH($J199,"M","Medium","L","Light","D","Dark")</f>
        <v>Dark</v>
      </c>
      <c r="P199" t="str">
        <f>_xlfn.XLOOKUP(Table1[[#This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IF(_xlfn.XLOOKUP(C200,customers!$A$1:$A$1001,customers!$C$1:$C$1001,,0)=0,"Not _Provided",_xlfn.XLOOKUP(C200,customers!$A$1:$A$1001,customers!$C$1:$C$1001,,0))</f>
        <v>ncuttler5g@parallels.com</v>
      </c>
      <c r="H200" s="2" t="str">
        <f>_xlfn.XLOOKUP(C200,customers!$A$1:$A$1001,customers!$G$1:$G$1001,,0)</f>
        <v>United States</v>
      </c>
      <c r="I200" t="str">
        <f>INDEX(products!$B$1:$B$49,MATCH($D200,products!$A$1:$A$49,0))</f>
        <v>Lib</v>
      </c>
      <c r="J200" t="str">
        <f>INDEX(products!$C$1:$C$49,MATCH($D200,products!$A$1:$A$49,0))</f>
        <v>D</v>
      </c>
      <c r="K200" s="4">
        <f>INDEX(products!$D$1:$D$49,MATCH($D200,products!$A$1:$A$49,0))</f>
        <v>2.5</v>
      </c>
      <c r="L200" s="5">
        <f>INDEX(products!$E$1:$E$49,MATCH($D200,products!$A$1:$A$49,0))</f>
        <v>29.784999999999997</v>
      </c>
      <c r="M200" s="5">
        <f t="shared" si="3"/>
        <v>89.35499999999999</v>
      </c>
      <c r="N200" t="str" cm="1">
        <f t="array" ref="N200">_xlfn.IFS(I200="Rob","Robusta",I200="Exc","Excelsa",I200="Ara","Arabica",I200="Lib","Liberica")</f>
        <v>Liberica</v>
      </c>
      <c r="O200" t="str" cm="1">
        <f t="array" ref="O200">_xlfn.SWITCH($J200,"M","Medium","L","Light","D","Dark")</f>
        <v>Dark</v>
      </c>
      <c r="P200" t="str">
        <f>_xlfn.XLOOKUP(Table1[[#This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IF(_xlfn.XLOOKUP(C201,customers!$A$1:$A$1001,customers!$C$1:$C$1001,,0)=0,"Not _Provided",_xlfn.XLOOKUP(C201,customers!$A$1:$A$1001,customers!$C$1:$C$1001,,0))</f>
        <v>ncuttler5g@parallels.com</v>
      </c>
      <c r="H201" s="2" t="str">
        <f>_xlfn.XLOOKUP(C201,customers!$A$1:$A$1001,customers!$G$1:$G$1001,,0)</f>
        <v>United States</v>
      </c>
      <c r="I201" t="str">
        <f>INDEX(products!$B$1:$B$49,MATCH($D201,products!$A$1:$A$49,0))</f>
        <v>Lib</v>
      </c>
      <c r="J201" t="str">
        <f>INDEX(products!$C$1:$C$49,MATCH($D201,products!$A$1:$A$49,0))</f>
        <v>L</v>
      </c>
      <c r="K201" s="4">
        <f>INDEX(products!$D$1:$D$49,MATCH($D201,products!$A$1:$A$49,0))</f>
        <v>0.5</v>
      </c>
      <c r="L201" s="5">
        <f>INDEX(products!$E$1:$E$49,MATCH($D201,products!$A$1:$A$49,0))</f>
        <v>9.51</v>
      </c>
      <c r="M201" s="5">
        <f t="shared" si="3"/>
        <v>38.04</v>
      </c>
      <c r="N201" t="str" cm="1">
        <f t="array" ref="N201">_xlfn.IFS(I201="Rob","Robusta",I201="Exc","Excelsa",I201="Ara","Arabica",I201="Lib","Liberica")</f>
        <v>Liberica</v>
      </c>
      <c r="O201" t="str" cm="1">
        <f t="array" ref="O201">_xlfn.SWITCH($J201,"M","Medium","L","Light","D","Dark")</f>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IF(_xlfn.XLOOKUP(C202,customers!$A$1:$A$1001,customers!$C$1:$C$1001,,0)=0,"Not _Provided",_xlfn.XLOOKUP(C202,customers!$A$1:$A$1001,customers!$C$1:$C$1001,,0))</f>
        <v>ncuttler5g@parallels.com</v>
      </c>
      <c r="H202" s="2" t="str">
        <f>_xlfn.XLOOKUP(C202,customers!$A$1:$A$1001,customers!$G$1:$G$1001,,0)</f>
        <v>United States</v>
      </c>
      <c r="I202" t="str">
        <f>INDEX(products!$B$1:$B$49,MATCH($D202,products!$A$1:$A$49,0))</f>
        <v>Exc</v>
      </c>
      <c r="J202" t="str">
        <f>INDEX(products!$C$1:$C$49,MATCH($D202,products!$A$1:$A$49,0))</f>
        <v>M</v>
      </c>
      <c r="K202" s="4">
        <f>INDEX(products!$D$1:$D$49,MATCH($D202,products!$A$1:$A$49,0))</f>
        <v>1</v>
      </c>
      <c r="L202" s="5">
        <f>INDEX(products!$E$1:$E$49,MATCH($D202,products!$A$1:$A$49,0))</f>
        <v>13.75</v>
      </c>
      <c r="M202" s="5">
        <f t="shared" si="3"/>
        <v>41.25</v>
      </c>
      <c r="N202" t="str" cm="1">
        <f t="array" ref="N202">_xlfn.IFS(I202="Rob","Robusta",I202="Exc","Excelsa",I202="Ara","Arabica",I202="Lib","Liberica")</f>
        <v>Excelsa</v>
      </c>
      <c r="O202" t="str" cm="1">
        <f t="array" ref="O202">_xlfn.SWITCH($J202,"M","Medium","L","Light","D","Dark")</f>
        <v>Medium</v>
      </c>
      <c r="P202" t="str">
        <f>_xlfn.XLOOKUP(Table1[[#This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IF(_xlfn.XLOOKUP(C203,customers!$A$1:$A$1001,customers!$C$1:$C$1001,,0)=0,"Not _Provided",_xlfn.XLOOKUP(C203,customers!$A$1:$A$1001,customers!$C$1:$C$1001,,0))</f>
        <v>Not _Provided</v>
      </c>
      <c r="H203" s="2" t="str">
        <f>_xlfn.XLOOKUP(C203,customers!$A$1:$A$1001,customers!$G$1:$G$1001,,0)</f>
        <v>United States</v>
      </c>
      <c r="I203" t="str">
        <f>INDEX(products!$B$1:$B$49,MATCH($D203,products!$A$1:$A$49,0))</f>
        <v>Lib</v>
      </c>
      <c r="J203" t="str">
        <f>INDEX(products!$C$1:$C$49,MATCH($D203,products!$A$1:$A$49,0))</f>
        <v>L</v>
      </c>
      <c r="K203" s="4">
        <f>INDEX(products!$D$1:$D$49,MATCH($D203,products!$A$1:$A$49,0))</f>
        <v>0.5</v>
      </c>
      <c r="L203" s="5">
        <f>INDEX(products!$E$1:$E$49,MATCH($D203,products!$A$1:$A$49,0))</f>
        <v>9.51</v>
      </c>
      <c r="M203" s="5">
        <f t="shared" si="3"/>
        <v>57.06</v>
      </c>
      <c r="N203" t="str" cm="1">
        <f t="array" ref="N203">_xlfn.IFS(I203="Rob","Robusta",I203="Exc","Excelsa",I203="Ara","Arabica",I203="Lib","Liberica")</f>
        <v>Liberica</v>
      </c>
      <c r="O203" t="str" cm="1">
        <f t="array" ref="O203">_xlfn.SWITCH($J203,"M","Medium","L","Light","D","Dark")</f>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IF(_xlfn.XLOOKUP(C204,customers!$A$1:$A$1001,customers!$C$1:$C$1001,,0)=0,"Not _Provided",_xlfn.XLOOKUP(C204,customers!$A$1:$A$1001,customers!$C$1:$C$1001,,0))</f>
        <v>tfelip5m@typepad.com</v>
      </c>
      <c r="H204" s="2" t="str">
        <f>_xlfn.XLOOKUP(C204,customers!$A$1:$A$1001,customers!$G$1:$G$1001,,0)</f>
        <v>United States</v>
      </c>
      <c r="I204" t="str">
        <f>INDEX(products!$B$1:$B$49,MATCH($D204,products!$A$1:$A$49,0))</f>
        <v>Lib</v>
      </c>
      <c r="J204" t="str">
        <f>INDEX(products!$C$1:$C$49,MATCH($D204,products!$A$1:$A$49,0))</f>
        <v>D</v>
      </c>
      <c r="K204" s="4">
        <f>INDEX(products!$D$1:$D$49,MATCH($D204,products!$A$1:$A$49,0))</f>
        <v>2.5</v>
      </c>
      <c r="L204" s="5">
        <f>INDEX(products!$E$1:$E$49,MATCH($D204,products!$A$1:$A$49,0))</f>
        <v>29.784999999999997</v>
      </c>
      <c r="M204" s="5">
        <f t="shared" si="3"/>
        <v>178.70999999999998</v>
      </c>
      <c r="N204" t="str" cm="1">
        <f t="array" ref="N204">_xlfn.IFS(I204="Rob","Robusta",I204="Exc","Excelsa",I204="Ara","Arabica",I204="Lib","Liberica")</f>
        <v>Liberica</v>
      </c>
      <c r="O204" t="str" cm="1">
        <f t="array" ref="O204">_xlfn.SWITCH($J204,"M","Medium","L","Light","D","Dark")</f>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IF(_xlfn.XLOOKUP(C205,customers!$A$1:$A$1001,customers!$C$1:$C$1001,,0)=0,"Not _Provided",_xlfn.XLOOKUP(C205,customers!$A$1:$A$1001,customers!$C$1:$C$1001,,0))</f>
        <v>vle5n@disqus.com</v>
      </c>
      <c r="H205" s="2" t="str">
        <f>_xlfn.XLOOKUP(C205,customers!$A$1:$A$1001,customers!$G$1:$G$1001,,0)</f>
        <v>United States</v>
      </c>
      <c r="I205" t="str">
        <f>INDEX(products!$B$1:$B$49,MATCH($D205,products!$A$1:$A$49,0))</f>
        <v>Lib</v>
      </c>
      <c r="J205" t="str">
        <f>INDEX(products!$C$1:$C$49,MATCH($D205,products!$A$1:$A$49,0))</f>
        <v>L</v>
      </c>
      <c r="K205" s="4">
        <f>INDEX(products!$D$1:$D$49,MATCH($D205,products!$A$1:$A$49,0))</f>
        <v>0.2</v>
      </c>
      <c r="L205" s="5">
        <f>INDEX(products!$E$1:$E$49,MATCH($D205,products!$A$1:$A$49,0))</f>
        <v>4.7549999999999999</v>
      </c>
      <c r="M205" s="5">
        <f t="shared" si="3"/>
        <v>4.7549999999999999</v>
      </c>
      <c r="N205" t="str" cm="1">
        <f t="array" ref="N205">_xlfn.IFS(I205="Rob","Robusta",I205="Exc","Excelsa",I205="Ara","Arabica",I205="Lib","Liberica")</f>
        <v>Liberica</v>
      </c>
      <c r="O205" t="str" cm="1">
        <f t="array" ref="O205">_xlfn.SWITCH($J205,"M","Medium","L","Light","D","Dark")</f>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IF(_xlfn.XLOOKUP(C206,customers!$A$1:$A$1001,customers!$C$1:$C$1001,,0)=0,"Not _Provided",_xlfn.XLOOKUP(C206,customers!$A$1:$A$1001,customers!$C$1:$C$1001,,0))</f>
        <v>Not _Provided</v>
      </c>
      <c r="H206" s="2" t="str">
        <f>_xlfn.XLOOKUP(C206,customers!$A$1:$A$1001,customers!$G$1:$G$1001,,0)</f>
        <v>United States</v>
      </c>
      <c r="I206" t="str">
        <f>INDEX(products!$B$1:$B$49,MATCH($D206,products!$A$1:$A$49,0))</f>
        <v>Exc</v>
      </c>
      <c r="J206" t="str">
        <f>INDEX(products!$C$1:$C$49,MATCH($D206,products!$A$1:$A$49,0))</f>
        <v>M</v>
      </c>
      <c r="K206" s="4">
        <f>INDEX(products!$D$1:$D$49,MATCH($D206,products!$A$1:$A$49,0))</f>
        <v>1</v>
      </c>
      <c r="L206" s="5">
        <f>INDEX(products!$E$1:$E$49,MATCH($D206,products!$A$1:$A$49,0))</f>
        <v>13.75</v>
      </c>
      <c r="M206" s="5">
        <f t="shared" si="3"/>
        <v>82.5</v>
      </c>
      <c r="N206" t="str" cm="1">
        <f t="array" ref="N206">_xlfn.IFS(I206="Rob","Robusta",I206="Exc","Excelsa",I206="Ara","Arabica",I206="Lib","Liberica")</f>
        <v>Excelsa</v>
      </c>
      <c r="O206" t="str" cm="1">
        <f t="array" ref="O206">_xlfn.SWITCH($J206,"M","Medium","L","Light","D","Dark")</f>
        <v>Medium</v>
      </c>
      <c r="P206" t="str">
        <f>_xlfn.XLOOKUP(Table1[[#This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IF(_xlfn.XLOOKUP(C207,customers!$A$1:$A$1001,customers!$C$1:$C$1001,,0)=0,"Not _Provided",_xlfn.XLOOKUP(C207,customers!$A$1:$A$1001,customers!$C$1:$C$1001,,0))</f>
        <v>Not _Provided</v>
      </c>
      <c r="H207" s="2" t="str">
        <f>_xlfn.XLOOKUP(C207,customers!$A$1:$A$1001,customers!$G$1:$G$1001,,0)</f>
        <v>United States</v>
      </c>
      <c r="I207" t="str">
        <f>INDEX(products!$B$1:$B$49,MATCH($D207,products!$A$1:$A$49,0))</f>
        <v>Rob</v>
      </c>
      <c r="J207" t="str">
        <f>INDEX(products!$C$1:$C$49,MATCH($D207,products!$A$1:$A$49,0))</f>
        <v>D</v>
      </c>
      <c r="K207" s="4">
        <f>INDEX(products!$D$1:$D$49,MATCH($D207,products!$A$1:$A$49,0))</f>
        <v>0.2</v>
      </c>
      <c r="L207" s="5">
        <f>INDEX(products!$E$1:$E$49,MATCH($D207,products!$A$1:$A$49,0))</f>
        <v>2.6849999999999996</v>
      </c>
      <c r="M207" s="5">
        <f t="shared" si="3"/>
        <v>8.0549999999999997</v>
      </c>
      <c r="N207" t="str" cm="1">
        <f t="array" ref="N207">_xlfn.IFS(I207="Rob","Robusta",I207="Exc","Excelsa",I207="Ara","Arabica",I207="Lib","Liberica")</f>
        <v>Robusta</v>
      </c>
      <c r="O207" t="str" cm="1">
        <f t="array" ref="O207">_xlfn.SWITCH($J207,"M","Medium","L","Light","D","Dark")</f>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IF(_xlfn.XLOOKUP(C208,customers!$A$1:$A$1001,customers!$C$1:$C$1001,,0)=0,"Not _Provided",_xlfn.XLOOKUP(C208,customers!$A$1:$A$1001,customers!$C$1:$C$1001,,0))</f>
        <v>npoolman5q@howstuffworks.com</v>
      </c>
      <c r="H208" s="2" t="str">
        <f>_xlfn.XLOOKUP(C208,customers!$A$1:$A$1001,customers!$G$1:$G$1001,,0)</f>
        <v>United States</v>
      </c>
      <c r="I208" t="str">
        <f>INDEX(products!$B$1:$B$49,MATCH($D208,products!$A$1:$A$49,0))</f>
        <v>Ara</v>
      </c>
      <c r="J208" t="str">
        <f>INDEX(products!$C$1:$C$49,MATCH($D208,products!$A$1:$A$49,0))</f>
        <v>M</v>
      </c>
      <c r="K208" s="4">
        <f>INDEX(products!$D$1:$D$49,MATCH($D208,products!$A$1:$A$49,0))</f>
        <v>1</v>
      </c>
      <c r="L208" s="5">
        <f>INDEX(products!$E$1:$E$49,MATCH($D208,products!$A$1:$A$49,0))</f>
        <v>11.25</v>
      </c>
      <c r="M208" s="5">
        <f t="shared" si="3"/>
        <v>22.5</v>
      </c>
      <c r="N208" t="str" cm="1">
        <f t="array" ref="N208">_xlfn.IFS(I208="Rob","Robusta",I208="Exc","Excelsa",I208="Ara","Arabica",I208="Lib","Liberica")</f>
        <v>Arabica</v>
      </c>
      <c r="O208" t="str" cm="1">
        <f t="array" ref="O208">_xlfn.SWITCH($J208,"M","Medium","L","Light","D","Dark")</f>
        <v>Medium</v>
      </c>
      <c r="P208" t="str">
        <f>_xlfn.XLOOKUP(Table1[[#This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IF(_xlfn.XLOOKUP(C209,customers!$A$1:$A$1001,customers!$C$1:$C$1001,,0)=0,"Not _Provided",_xlfn.XLOOKUP(C209,customers!$A$1:$A$1001,customers!$C$1:$C$1001,,0))</f>
        <v>oduny5r@constantcontact.com</v>
      </c>
      <c r="H209" s="2" t="str">
        <f>_xlfn.XLOOKUP(C209,customers!$A$1:$A$1001,customers!$G$1:$G$1001,,0)</f>
        <v>United States</v>
      </c>
      <c r="I209" t="str">
        <f>INDEX(products!$B$1:$B$49,MATCH($D209,products!$A$1:$A$49,0))</f>
        <v>Ara</v>
      </c>
      <c r="J209" t="str">
        <f>INDEX(products!$C$1:$C$49,MATCH($D209,products!$A$1:$A$49,0))</f>
        <v>M</v>
      </c>
      <c r="K209" s="4">
        <f>INDEX(products!$D$1:$D$49,MATCH($D209,products!$A$1:$A$49,0))</f>
        <v>0.5</v>
      </c>
      <c r="L209" s="5">
        <f>INDEX(products!$E$1:$E$49,MATCH($D209,products!$A$1:$A$49,0))</f>
        <v>6.75</v>
      </c>
      <c r="M209" s="5">
        <f t="shared" si="3"/>
        <v>40.5</v>
      </c>
      <c r="N209" t="str" cm="1">
        <f t="array" ref="N209">_xlfn.IFS(I209="Rob","Robusta",I209="Exc","Excelsa",I209="Ara","Arabica",I209="Lib","Liberica")</f>
        <v>Arabica</v>
      </c>
      <c r="O209" t="str" cm="1">
        <f t="array" ref="O209">_xlfn.SWITCH($J209,"M","Medium","L","Light","D","Dark")</f>
        <v>Medium</v>
      </c>
      <c r="P209" t="str">
        <f>_xlfn.XLOOKUP(Table1[[#This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IF(_xlfn.XLOOKUP(C210,customers!$A$1:$A$1001,customers!$C$1:$C$1001,,0)=0,"Not _Provided",_xlfn.XLOOKUP(C210,customers!$A$1:$A$1001,customers!$C$1:$C$1001,,0))</f>
        <v>chalfhide5s@google.ru</v>
      </c>
      <c r="H210" s="2" t="str">
        <f>_xlfn.XLOOKUP(C210,customers!$A$1:$A$1001,customers!$G$1:$G$1001,,0)</f>
        <v>Ireland</v>
      </c>
      <c r="I210" t="str">
        <f>INDEX(products!$B$1:$B$49,MATCH($D210,products!$A$1:$A$49,0))</f>
        <v>Exc</v>
      </c>
      <c r="J210" t="str">
        <f>INDEX(products!$C$1:$C$49,MATCH($D210,products!$A$1:$A$49,0))</f>
        <v>D</v>
      </c>
      <c r="K210" s="4">
        <f>INDEX(products!$D$1:$D$49,MATCH($D210,products!$A$1:$A$49,0))</f>
        <v>0.5</v>
      </c>
      <c r="L210" s="5">
        <f>INDEX(products!$E$1:$E$49,MATCH($D210,products!$A$1:$A$49,0))</f>
        <v>7.29</v>
      </c>
      <c r="M210" s="5">
        <f t="shared" si="3"/>
        <v>29.16</v>
      </c>
      <c r="N210" t="str" cm="1">
        <f t="array" ref="N210">_xlfn.IFS(I210="Rob","Robusta",I210="Exc","Excelsa",I210="Ara","Arabica",I210="Lib","Liberica")</f>
        <v>Excelsa</v>
      </c>
      <c r="O210" t="str" cm="1">
        <f t="array" ref="O210">_xlfn.SWITCH($J210,"M","Medium","L","Light","D","Dark")</f>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IF(_xlfn.XLOOKUP(C211,customers!$A$1:$A$1001,customers!$C$1:$C$1001,,0)=0,"Not _Provided",_xlfn.XLOOKUP(C211,customers!$A$1:$A$1001,customers!$C$1:$C$1001,,0))</f>
        <v>fmalecky5t@list-manage.com</v>
      </c>
      <c r="H211" s="2" t="str">
        <f>_xlfn.XLOOKUP(C211,customers!$A$1:$A$1001,customers!$G$1:$G$1001,,0)</f>
        <v>United Kingdom</v>
      </c>
      <c r="I211" t="str">
        <f>INDEX(products!$B$1:$B$49,MATCH($D211,products!$A$1:$A$49,0))</f>
        <v>Ara</v>
      </c>
      <c r="J211" t="str">
        <f>INDEX(products!$C$1:$C$49,MATCH($D211,products!$A$1:$A$49,0))</f>
        <v>M</v>
      </c>
      <c r="K211" s="4">
        <f>INDEX(products!$D$1:$D$49,MATCH($D211,products!$A$1:$A$49,0))</f>
        <v>0.5</v>
      </c>
      <c r="L211" s="5">
        <f>INDEX(products!$E$1:$E$49,MATCH($D211,products!$A$1:$A$49,0))</f>
        <v>6.75</v>
      </c>
      <c r="M211" s="5">
        <f t="shared" si="3"/>
        <v>6.75</v>
      </c>
      <c r="N211" t="str" cm="1">
        <f t="array" ref="N211">_xlfn.IFS(I211="Rob","Robusta",I211="Exc","Excelsa",I211="Ara","Arabica",I211="Lib","Liberica")</f>
        <v>Arabica</v>
      </c>
      <c r="O211" t="str" cm="1">
        <f t="array" ref="O211">_xlfn.SWITCH($J211,"M","Medium","L","Light","D","Dark")</f>
        <v>Medium</v>
      </c>
      <c r="P211" t="str">
        <f>_xlfn.XLOOKUP(Table1[[#This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IF(_xlfn.XLOOKUP(C212,customers!$A$1:$A$1001,customers!$C$1:$C$1001,,0)=0,"Not _Provided",_xlfn.XLOOKUP(C212,customers!$A$1:$A$1001,customers!$C$1:$C$1001,,0))</f>
        <v>aattwater5u@wikia.com</v>
      </c>
      <c r="H212" s="2" t="str">
        <f>_xlfn.XLOOKUP(C212,customers!$A$1:$A$1001,customers!$G$1:$G$1001,,0)</f>
        <v>United States</v>
      </c>
      <c r="I212" t="str">
        <f>INDEX(products!$B$1:$B$49,MATCH($D212,products!$A$1:$A$49,0))</f>
        <v>Lib</v>
      </c>
      <c r="J212" t="str">
        <f>INDEX(products!$C$1:$C$49,MATCH($D212,products!$A$1:$A$49,0))</f>
        <v>D</v>
      </c>
      <c r="K212" s="4">
        <f>INDEX(products!$D$1:$D$49,MATCH($D212,products!$A$1:$A$49,0))</f>
        <v>1</v>
      </c>
      <c r="L212" s="5">
        <f>INDEX(products!$E$1:$E$49,MATCH($D212,products!$A$1:$A$49,0))</f>
        <v>12.95</v>
      </c>
      <c r="M212" s="5">
        <f t="shared" si="3"/>
        <v>51.8</v>
      </c>
      <c r="N212" t="str" cm="1">
        <f t="array" ref="N212">_xlfn.IFS(I212="Rob","Robusta",I212="Exc","Excelsa",I212="Ara","Arabica",I212="Lib","Liberica")</f>
        <v>Liberica</v>
      </c>
      <c r="O212" t="str" cm="1">
        <f t="array" ref="O212">_xlfn.SWITCH($J212,"M","Medium","L","Light","D","Dark")</f>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IF(_xlfn.XLOOKUP(C213,customers!$A$1:$A$1001,customers!$C$1:$C$1001,,0)=0,"Not _Provided",_xlfn.XLOOKUP(C213,customers!$A$1:$A$1001,customers!$C$1:$C$1001,,0))</f>
        <v>mwhellans5v@mapquest.com</v>
      </c>
      <c r="H213" s="2" t="str">
        <f>_xlfn.XLOOKUP(C213,customers!$A$1:$A$1001,customers!$G$1:$G$1001,,0)</f>
        <v>United States</v>
      </c>
      <c r="I213" t="str">
        <f>INDEX(products!$B$1:$B$49,MATCH($D213,products!$A$1:$A$49,0))</f>
        <v>Exc</v>
      </c>
      <c r="J213" t="str">
        <f>INDEX(products!$C$1:$C$49,MATCH($D213,products!$A$1:$A$49,0))</f>
        <v>L</v>
      </c>
      <c r="K213" s="4">
        <f>INDEX(products!$D$1:$D$49,MATCH($D213,products!$A$1:$A$49,0))</f>
        <v>0.5</v>
      </c>
      <c r="L213" s="5">
        <f>INDEX(products!$E$1:$E$49,MATCH($D213,products!$A$1:$A$49,0))</f>
        <v>8.91</v>
      </c>
      <c r="M213" s="5">
        <f t="shared" si="3"/>
        <v>53.46</v>
      </c>
      <c r="N213" t="str" cm="1">
        <f t="array" ref="N213">_xlfn.IFS(I213="Rob","Robusta",I213="Exc","Excelsa",I213="Ara","Arabica",I213="Lib","Liberica")</f>
        <v>Excelsa</v>
      </c>
      <c r="O213" t="str" cm="1">
        <f t="array" ref="O213">_xlfn.SWITCH($J213,"M","Medium","L","Light","D","Dark")</f>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IF(_xlfn.XLOOKUP(C214,customers!$A$1:$A$1001,customers!$C$1:$C$1001,,0)=0,"Not _Provided",_xlfn.XLOOKUP(C214,customers!$A$1:$A$1001,customers!$C$1:$C$1001,,0))</f>
        <v>dcamilletti5w@businesswire.com</v>
      </c>
      <c r="H214" s="2" t="str">
        <f>_xlfn.XLOOKUP(C214,customers!$A$1:$A$1001,customers!$G$1:$G$1001,,0)</f>
        <v>United States</v>
      </c>
      <c r="I214" t="str">
        <f>INDEX(products!$B$1:$B$49,MATCH($D214,products!$A$1:$A$49,0))</f>
        <v>Exc</v>
      </c>
      <c r="J214" t="str">
        <f>INDEX(products!$C$1:$C$49,MATCH($D214,products!$A$1:$A$49,0))</f>
        <v>D</v>
      </c>
      <c r="K214" s="4">
        <f>INDEX(products!$D$1:$D$49,MATCH($D214,products!$A$1:$A$49,0))</f>
        <v>0.2</v>
      </c>
      <c r="L214" s="5">
        <f>INDEX(products!$E$1:$E$49,MATCH($D214,products!$A$1:$A$49,0))</f>
        <v>3.645</v>
      </c>
      <c r="M214" s="5">
        <f t="shared" si="3"/>
        <v>14.58</v>
      </c>
      <c r="N214" t="str" cm="1">
        <f t="array" ref="N214">_xlfn.IFS(I214="Rob","Robusta",I214="Exc","Excelsa",I214="Ara","Arabica",I214="Lib","Liberica")</f>
        <v>Excelsa</v>
      </c>
      <c r="O214" t="str" cm="1">
        <f t="array" ref="O214">_xlfn.SWITCH($J214,"M","Medium","L","Light","D","Dark")</f>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IF(_xlfn.XLOOKUP(C215,customers!$A$1:$A$1001,customers!$C$1:$C$1001,,0)=0,"Not _Provided",_xlfn.XLOOKUP(C215,customers!$A$1:$A$1001,customers!$C$1:$C$1001,,0))</f>
        <v>egalgey5x@wufoo.com</v>
      </c>
      <c r="H215" s="2" t="str">
        <f>_xlfn.XLOOKUP(C215,customers!$A$1:$A$1001,customers!$G$1:$G$1001,,0)</f>
        <v>United States</v>
      </c>
      <c r="I215" t="str">
        <f>INDEX(products!$B$1:$B$49,MATCH($D215,products!$A$1:$A$49,0))</f>
        <v>Rob</v>
      </c>
      <c r="J215" t="str">
        <f>INDEX(products!$C$1:$C$49,MATCH($D215,products!$A$1:$A$49,0))</f>
        <v>D</v>
      </c>
      <c r="K215" s="4">
        <f>INDEX(products!$D$1:$D$49,MATCH($D215,products!$A$1:$A$49,0))</f>
        <v>2.5</v>
      </c>
      <c r="L215" s="5">
        <f>INDEX(products!$E$1:$E$49,MATCH($D215,products!$A$1:$A$49,0))</f>
        <v>20.584999999999997</v>
      </c>
      <c r="M215" s="5">
        <f t="shared" si="3"/>
        <v>20.584999999999997</v>
      </c>
      <c r="N215" t="str" cm="1">
        <f t="array" ref="N215">_xlfn.IFS(I215="Rob","Robusta",I215="Exc","Excelsa",I215="Ara","Arabica",I215="Lib","Liberica")</f>
        <v>Robusta</v>
      </c>
      <c r="O215" t="str" cm="1">
        <f t="array" ref="O215">_xlfn.SWITCH($J215,"M","Medium","L","Light","D","Dark")</f>
        <v>Dark</v>
      </c>
      <c r="P215" t="str">
        <f>_xlfn.XLOOKUP(Table1[[#This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IF(_xlfn.XLOOKUP(C216,customers!$A$1:$A$1001,customers!$C$1:$C$1001,,0)=0,"Not _Provided",_xlfn.XLOOKUP(C216,customers!$A$1:$A$1001,customers!$C$1:$C$1001,,0))</f>
        <v>mhame5y@newsvine.com</v>
      </c>
      <c r="H216" s="2" t="str">
        <f>_xlfn.XLOOKUP(C216,customers!$A$1:$A$1001,customers!$G$1:$G$1001,,0)</f>
        <v>Ireland</v>
      </c>
      <c r="I216" t="str">
        <f>INDEX(products!$B$1:$B$49,MATCH($D216,products!$A$1:$A$49,0))</f>
        <v>Lib</v>
      </c>
      <c r="J216" t="str">
        <f>INDEX(products!$C$1:$C$49,MATCH($D216,products!$A$1:$A$49,0))</f>
        <v>L</v>
      </c>
      <c r="K216" s="4">
        <f>INDEX(products!$D$1:$D$49,MATCH($D216,products!$A$1:$A$49,0))</f>
        <v>1</v>
      </c>
      <c r="L216" s="5">
        <f>INDEX(products!$E$1:$E$49,MATCH($D216,products!$A$1:$A$49,0))</f>
        <v>15.85</v>
      </c>
      <c r="M216" s="5">
        <f t="shared" si="3"/>
        <v>31.7</v>
      </c>
      <c r="N216" t="str" cm="1">
        <f t="array" ref="N216">_xlfn.IFS(I216="Rob","Robusta",I216="Exc","Excelsa",I216="Ara","Arabica",I216="Lib","Liberica")</f>
        <v>Liberica</v>
      </c>
      <c r="O216" t="str" cm="1">
        <f t="array" ref="O216">_xlfn.SWITCH($J216,"M","Medium","L","Light","D","Dark")</f>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IF(_xlfn.XLOOKUP(C217,customers!$A$1:$A$1001,customers!$C$1:$C$1001,,0)=0,"Not _Provided",_xlfn.XLOOKUP(C217,customers!$A$1:$A$1001,customers!$C$1:$C$1001,,0))</f>
        <v>igurnee5z@usnews.com</v>
      </c>
      <c r="H217" s="2" t="str">
        <f>_xlfn.XLOOKUP(C217,customers!$A$1:$A$1001,customers!$G$1:$G$1001,,0)</f>
        <v>United States</v>
      </c>
      <c r="I217" t="str">
        <f>INDEX(products!$B$1:$B$49,MATCH($D217,products!$A$1:$A$49,0))</f>
        <v>Lib</v>
      </c>
      <c r="J217" t="str">
        <f>INDEX(products!$C$1:$C$49,MATCH($D217,products!$A$1:$A$49,0))</f>
        <v>D</v>
      </c>
      <c r="K217" s="4">
        <f>INDEX(products!$D$1:$D$49,MATCH($D217,products!$A$1:$A$49,0))</f>
        <v>0.2</v>
      </c>
      <c r="L217" s="5">
        <f>INDEX(products!$E$1:$E$49,MATCH($D217,products!$A$1:$A$49,0))</f>
        <v>3.8849999999999998</v>
      </c>
      <c r="M217" s="5">
        <f t="shared" si="3"/>
        <v>23.31</v>
      </c>
      <c r="N217" t="str" cm="1">
        <f t="array" ref="N217">_xlfn.IFS(I217="Rob","Robusta",I217="Exc","Excelsa",I217="Ara","Arabica",I217="Lib","Liberica")</f>
        <v>Liberica</v>
      </c>
      <c r="O217" t="str" cm="1">
        <f t="array" ref="O217">_xlfn.SWITCH($J217,"M","Medium","L","Light","D","Dark")</f>
        <v>Dark</v>
      </c>
      <c r="P217" t="str">
        <f>_xlfn.XLOOKUP(Table1[[#This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IF(_xlfn.XLOOKUP(C218,customers!$A$1:$A$1001,customers!$C$1:$C$1001,,0)=0,"Not _Provided",_xlfn.XLOOKUP(C218,customers!$A$1:$A$1001,customers!$C$1:$C$1001,,0))</f>
        <v>asnowding60@comsenz.com</v>
      </c>
      <c r="H218" s="2" t="str">
        <f>_xlfn.XLOOKUP(C218,customers!$A$1:$A$1001,customers!$G$1:$G$1001,,0)</f>
        <v>United States</v>
      </c>
      <c r="I218" t="str">
        <f>INDEX(products!$B$1:$B$49,MATCH($D218,products!$A$1:$A$49,0))</f>
        <v>Lib</v>
      </c>
      <c r="J218" t="str">
        <f>INDEX(products!$C$1:$C$49,MATCH($D218,products!$A$1:$A$49,0))</f>
        <v>M</v>
      </c>
      <c r="K218" s="4">
        <f>INDEX(products!$D$1:$D$49,MATCH($D218,products!$A$1:$A$49,0))</f>
        <v>1</v>
      </c>
      <c r="L218" s="5">
        <f>INDEX(products!$E$1:$E$49,MATCH($D218,products!$A$1:$A$49,0))</f>
        <v>14.55</v>
      </c>
      <c r="M218" s="5">
        <f t="shared" si="3"/>
        <v>58.2</v>
      </c>
      <c r="N218" t="str" cm="1">
        <f t="array" ref="N218">_xlfn.IFS(I218="Rob","Robusta",I218="Exc","Excelsa",I218="Ara","Arabica",I218="Lib","Liberica")</f>
        <v>Liberica</v>
      </c>
      <c r="O218" t="str" cm="1">
        <f t="array" ref="O218">_xlfn.SWITCH($J218,"M","Medium","L","Light","D","Dark")</f>
        <v>Medium</v>
      </c>
      <c r="P218" t="str">
        <f>_xlfn.XLOOKUP(Table1[[#This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IF(_xlfn.XLOOKUP(C219,customers!$A$1:$A$1001,customers!$C$1:$C$1001,,0)=0,"Not _Provided",_xlfn.XLOOKUP(C219,customers!$A$1:$A$1001,customers!$C$1:$C$1001,,0))</f>
        <v>gpoinsett61@berkeley.edu</v>
      </c>
      <c r="H219" s="2" t="str">
        <f>_xlfn.XLOOKUP(C219,customers!$A$1:$A$1001,customers!$G$1:$G$1001,,0)</f>
        <v>United States</v>
      </c>
      <c r="I219" t="str">
        <f>INDEX(products!$B$1:$B$49,MATCH($D219,products!$A$1:$A$49,0))</f>
        <v>Exc</v>
      </c>
      <c r="J219" t="str">
        <f>INDEX(products!$C$1:$C$49,MATCH($D219,products!$A$1:$A$49,0))</f>
        <v>L</v>
      </c>
      <c r="K219" s="4">
        <f>INDEX(products!$D$1:$D$49,MATCH($D219,products!$A$1:$A$49,0))</f>
        <v>0.5</v>
      </c>
      <c r="L219" s="5">
        <f>INDEX(products!$E$1:$E$49,MATCH($D219,products!$A$1:$A$49,0))</f>
        <v>8.91</v>
      </c>
      <c r="M219" s="5">
        <f t="shared" si="3"/>
        <v>35.64</v>
      </c>
      <c r="N219" t="str" cm="1">
        <f t="array" ref="N219">_xlfn.IFS(I219="Rob","Robusta",I219="Exc","Excelsa",I219="Ara","Arabica",I219="Lib","Liberica")</f>
        <v>Excelsa</v>
      </c>
      <c r="O219" t="str" cm="1">
        <f t="array" ref="O219">_xlfn.SWITCH($J219,"M","Medium","L","Light","D","Dark")</f>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IF(_xlfn.XLOOKUP(C220,customers!$A$1:$A$1001,customers!$C$1:$C$1001,,0)=0,"Not _Provided",_xlfn.XLOOKUP(C220,customers!$A$1:$A$1001,customers!$C$1:$C$1001,,0))</f>
        <v>rfurman62@t.co</v>
      </c>
      <c r="H220" s="2" t="str">
        <f>_xlfn.XLOOKUP(C220,customers!$A$1:$A$1001,customers!$G$1:$G$1001,,0)</f>
        <v>Ireland</v>
      </c>
      <c r="I220" t="str">
        <f>INDEX(products!$B$1:$B$49,MATCH($D220,products!$A$1:$A$49,0))</f>
        <v>Ara</v>
      </c>
      <c r="J220" t="str">
        <f>INDEX(products!$C$1:$C$49,MATCH($D220,products!$A$1:$A$49,0))</f>
        <v>M</v>
      </c>
      <c r="K220" s="4">
        <f>INDEX(products!$D$1:$D$49,MATCH($D220,products!$A$1:$A$49,0))</f>
        <v>1</v>
      </c>
      <c r="L220" s="5">
        <f>INDEX(products!$E$1:$E$49,MATCH($D220,products!$A$1:$A$49,0))</f>
        <v>11.25</v>
      </c>
      <c r="M220" s="5">
        <f t="shared" si="3"/>
        <v>56.25</v>
      </c>
      <c r="N220" t="str" cm="1">
        <f t="array" ref="N220">_xlfn.IFS(I220="Rob","Robusta",I220="Exc","Excelsa",I220="Ara","Arabica",I220="Lib","Liberica")</f>
        <v>Arabica</v>
      </c>
      <c r="O220" t="str" cm="1">
        <f t="array" ref="O220">_xlfn.SWITCH($J220,"M","Medium","L","Light","D","Dark")</f>
        <v>Medium</v>
      </c>
      <c r="P220" t="str">
        <f>_xlfn.XLOOKUP(Table1[[#This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IF(_xlfn.XLOOKUP(C221,customers!$A$1:$A$1001,customers!$C$1:$C$1001,,0)=0,"Not _Provided",_xlfn.XLOOKUP(C221,customers!$A$1:$A$1001,customers!$C$1:$C$1001,,0))</f>
        <v>ccrosier63@xrea.com</v>
      </c>
      <c r="H221" s="2" t="str">
        <f>_xlfn.XLOOKUP(C221,customers!$A$1:$A$1001,customers!$G$1:$G$1001,,0)</f>
        <v>United States</v>
      </c>
      <c r="I221" t="str">
        <f>INDEX(products!$B$1:$B$49,MATCH($D221,products!$A$1:$A$49,0))</f>
        <v>Rob</v>
      </c>
      <c r="J221" t="str">
        <f>INDEX(products!$C$1:$C$49,MATCH($D221,products!$A$1:$A$49,0))</f>
        <v>L</v>
      </c>
      <c r="K221" s="4">
        <f>INDEX(products!$D$1:$D$49,MATCH($D221,products!$A$1:$A$49,0))</f>
        <v>0.2</v>
      </c>
      <c r="L221" s="5">
        <f>INDEX(products!$E$1:$E$49,MATCH($D221,products!$A$1:$A$49,0))</f>
        <v>3.5849999999999995</v>
      </c>
      <c r="M221" s="5">
        <f t="shared" si="3"/>
        <v>10.754999999999999</v>
      </c>
      <c r="N221" t="str" cm="1">
        <f t="array" ref="N221">_xlfn.IFS(I221="Rob","Robusta",I221="Exc","Excelsa",I221="Ara","Arabica",I221="Lib","Liberica")</f>
        <v>Robusta</v>
      </c>
      <c r="O221" t="str" cm="1">
        <f t="array" ref="O221">_xlfn.SWITCH($J221,"M","Medium","L","Light","D","Dark")</f>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IF(_xlfn.XLOOKUP(C222,customers!$A$1:$A$1001,customers!$C$1:$C$1001,,0)=0,"Not _Provided",_xlfn.XLOOKUP(C222,customers!$A$1:$A$1001,customers!$C$1:$C$1001,,0))</f>
        <v>ccrosier63@xrea.com</v>
      </c>
      <c r="H222" s="2" t="str">
        <f>_xlfn.XLOOKUP(C222,customers!$A$1:$A$1001,customers!$G$1:$G$1001,,0)</f>
        <v>United States</v>
      </c>
      <c r="I222" t="str">
        <f>INDEX(products!$B$1:$B$49,MATCH($D222,products!$A$1:$A$49,0))</f>
        <v>Rob</v>
      </c>
      <c r="J222" t="str">
        <f>INDEX(products!$C$1:$C$49,MATCH($D222,products!$A$1:$A$49,0))</f>
        <v>M</v>
      </c>
      <c r="K222" s="4">
        <f>INDEX(products!$D$1:$D$49,MATCH($D222,products!$A$1:$A$49,0))</f>
        <v>0.2</v>
      </c>
      <c r="L222" s="5">
        <f>INDEX(products!$E$1:$E$49,MATCH($D222,products!$A$1:$A$49,0))</f>
        <v>2.9849999999999999</v>
      </c>
      <c r="M222" s="5">
        <f t="shared" si="3"/>
        <v>14.924999999999999</v>
      </c>
      <c r="N222" t="str" cm="1">
        <f t="array" ref="N222">_xlfn.IFS(I222="Rob","Robusta",I222="Exc","Excelsa",I222="Ara","Arabica",I222="Lib","Liberica")</f>
        <v>Robusta</v>
      </c>
      <c r="O222" t="str" cm="1">
        <f t="array" ref="O222">_xlfn.SWITCH($J222,"M","Medium","L","Light","D","Dark")</f>
        <v>Medium</v>
      </c>
      <c r="P222" t="str">
        <f>_xlfn.XLOOKUP(Table1[[#This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IF(_xlfn.XLOOKUP(C223,customers!$A$1:$A$1001,customers!$C$1:$C$1001,,0)=0,"Not _Provided",_xlfn.XLOOKUP(C223,customers!$A$1:$A$1001,customers!$C$1:$C$1001,,0))</f>
        <v>lrushmer65@europa.eu</v>
      </c>
      <c r="H223" s="2" t="str">
        <f>_xlfn.XLOOKUP(C223,customers!$A$1:$A$1001,customers!$G$1:$G$1001,,0)</f>
        <v>United States</v>
      </c>
      <c r="I223" t="str">
        <f>INDEX(products!$B$1:$B$49,MATCH($D223,products!$A$1:$A$49,0))</f>
        <v>Ara</v>
      </c>
      <c r="J223" t="str">
        <f>INDEX(products!$C$1:$C$49,MATCH($D223,products!$A$1:$A$49,0))</f>
        <v>L</v>
      </c>
      <c r="K223" s="4">
        <f>INDEX(products!$D$1:$D$49,MATCH($D223,products!$A$1:$A$49,0))</f>
        <v>1</v>
      </c>
      <c r="L223" s="5">
        <f>INDEX(products!$E$1:$E$49,MATCH($D223,products!$A$1:$A$49,0))</f>
        <v>12.95</v>
      </c>
      <c r="M223" s="5">
        <f t="shared" si="3"/>
        <v>77.699999999999989</v>
      </c>
      <c r="N223" t="str" cm="1">
        <f t="array" ref="N223">_xlfn.IFS(I223="Rob","Robusta",I223="Exc","Excelsa",I223="Ara","Arabica",I223="Lib","Liberica")</f>
        <v>Arabica</v>
      </c>
      <c r="O223" t="str" cm="1">
        <f t="array" ref="O223">_xlfn.SWITCH($J223,"M","Medium","L","Light","D","Dark")</f>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IF(_xlfn.XLOOKUP(C224,customers!$A$1:$A$1001,customers!$C$1:$C$1001,,0)=0,"Not _Provided",_xlfn.XLOOKUP(C224,customers!$A$1:$A$1001,customers!$C$1:$C$1001,,0))</f>
        <v>wedinborough66@github.io</v>
      </c>
      <c r="H224" s="2" t="str">
        <f>_xlfn.XLOOKUP(C224,customers!$A$1:$A$1001,customers!$G$1:$G$1001,,0)</f>
        <v>United States</v>
      </c>
      <c r="I224" t="str">
        <f>INDEX(products!$B$1:$B$49,MATCH($D224,products!$A$1:$A$49,0))</f>
        <v>Lib</v>
      </c>
      <c r="J224" t="str">
        <f>INDEX(products!$C$1:$C$49,MATCH($D224,products!$A$1:$A$49,0))</f>
        <v>D</v>
      </c>
      <c r="K224" s="4">
        <f>INDEX(products!$D$1:$D$49,MATCH($D224,products!$A$1:$A$49,0))</f>
        <v>0.5</v>
      </c>
      <c r="L224" s="5">
        <f>INDEX(products!$E$1:$E$49,MATCH($D224,products!$A$1:$A$49,0))</f>
        <v>7.77</v>
      </c>
      <c r="M224" s="5">
        <f t="shared" si="3"/>
        <v>23.31</v>
      </c>
      <c r="N224" t="str" cm="1">
        <f t="array" ref="N224">_xlfn.IFS(I224="Rob","Robusta",I224="Exc","Excelsa",I224="Ara","Arabica",I224="Lib","Liberica")</f>
        <v>Liberica</v>
      </c>
      <c r="O224" t="str" cm="1">
        <f t="array" ref="O224">_xlfn.SWITCH($J224,"M","Medium","L","Light","D","Dark")</f>
        <v>Dark</v>
      </c>
      <c r="P224" t="str">
        <f>_xlfn.XLOOKUP(Table1[[#This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IF(_xlfn.XLOOKUP(C225,customers!$A$1:$A$1001,customers!$C$1:$C$1001,,0)=0,"Not _Provided",_xlfn.XLOOKUP(C225,customers!$A$1:$A$1001,customers!$C$1:$C$1001,,0))</f>
        <v>Not _Provided</v>
      </c>
      <c r="H225" s="2" t="str">
        <f>_xlfn.XLOOKUP(C225,customers!$A$1:$A$1001,customers!$G$1:$G$1001,,0)</f>
        <v>United States</v>
      </c>
      <c r="I225" t="str">
        <f>INDEX(products!$B$1:$B$49,MATCH($D225,products!$A$1:$A$49,0))</f>
        <v>Exc</v>
      </c>
      <c r="J225" t="str">
        <f>INDEX(products!$C$1:$C$49,MATCH($D225,products!$A$1:$A$49,0))</f>
        <v>L</v>
      </c>
      <c r="K225" s="4">
        <f>INDEX(products!$D$1:$D$49,MATCH($D225,products!$A$1:$A$49,0))</f>
        <v>1</v>
      </c>
      <c r="L225" s="5">
        <f>INDEX(products!$E$1:$E$49,MATCH($D225,products!$A$1:$A$49,0))</f>
        <v>14.85</v>
      </c>
      <c r="M225" s="5">
        <f t="shared" si="3"/>
        <v>59.4</v>
      </c>
      <c r="N225" t="str" cm="1">
        <f t="array" ref="N225">_xlfn.IFS(I225="Rob","Robusta",I225="Exc","Excelsa",I225="Ara","Arabica",I225="Lib","Liberica")</f>
        <v>Excelsa</v>
      </c>
      <c r="O225" t="str" cm="1">
        <f t="array" ref="O225">_xlfn.SWITCH($J225,"M","Medium","L","Light","D","Dark")</f>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IF(_xlfn.XLOOKUP(C226,customers!$A$1:$A$1001,customers!$C$1:$C$1001,,0)=0,"Not _Provided",_xlfn.XLOOKUP(C226,customers!$A$1:$A$1001,customers!$C$1:$C$1001,,0))</f>
        <v>kbromehead68@un.org</v>
      </c>
      <c r="H226" s="2" t="str">
        <f>_xlfn.XLOOKUP(C226,customers!$A$1:$A$1001,customers!$G$1:$G$1001,,0)</f>
        <v>United States</v>
      </c>
      <c r="I226" t="str">
        <f>INDEX(products!$B$1:$B$49,MATCH($D226,products!$A$1:$A$49,0))</f>
        <v>Lib</v>
      </c>
      <c r="J226" t="str">
        <f>INDEX(products!$C$1:$C$49,MATCH($D226,products!$A$1:$A$49,0))</f>
        <v>D</v>
      </c>
      <c r="K226" s="4">
        <f>INDEX(products!$D$1:$D$49,MATCH($D226,products!$A$1:$A$49,0))</f>
        <v>2.5</v>
      </c>
      <c r="L226" s="5">
        <f>INDEX(products!$E$1:$E$49,MATCH($D226,products!$A$1:$A$49,0))</f>
        <v>29.784999999999997</v>
      </c>
      <c r="M226" s="5">
        <f t="shared" si="3"/>
        <v>119.13999999999999</v>
      </c>
      <c r="N226" t="str" cm="1">
        <f t="array" ref="N226">_xlfn.IFS(I226="Rob","Robusta",I226="Exc","Excelsa",I226="Ara","Arabica",I226="Lib","Liberica")</f>
        <v>Liberica</v>
      </c>
      <c r="O226" t="str" cm="1">
        <f t="array" ref="O226">_xlfn.SWITCH($J226,"M","Medium","L","Light","D","Dark")</f>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IF(_xlfn.XLOOKUP(C227,customers!$A$1:$A$1001,customers!$C$1:$C$1001,,0)=0,"Not _Provided",_xlfn.XLOOKUP(C227,customers!$A$1:$A$1001,customers!$C$1:$C$1001,,0))</f>
        <v>ewesterman69@si.edu</v>
      </c>
      <c r="H227" s="2" t="str">
        <f>_xlfn.XLOOKUP(C227,customers!$A$1:$A$1001,customers!$G$1:$G$1001,,0)</f>
        <v>Ireland</v>
      </c>
      <c r="I227" t="str">
        <f>INDEX(products!$B$1:$B$49,MATCH($D227,products!$A$1:$A$49,0))</f>
        <v>Rob</v>
      </c>
      <c r="J227" t="str">
        <f>INDEX(products!$C$1:$C$49,MATCH($D227,products!$A$1:$A$49,0))</f>
        <v>L</v>
      </c>
      <c r="K227" s="4">
        <f>INDEX(products!$D$1:$D$49,MATCH($D227,products!$A$1:$A$49,0))</f>
        <v>0.2</v>
      </c>
      <c r="L227" s="5">
        <f>INDEX(products!$E$1:$E$49,MATCH($D227,products!$A$1:$A$49,0))</f>
        <v>3.5849999999999995</v>
      </c>
      <c r="M227" s="5">
        <f t="shared" si="3"/>
        <v>14.339999999999998</v>
      </c>
      <c r="N227" t="str" cm="1">
        <f t="array" ref="N227">_xlfn.IFS(I227="Rob","Robusta",I227="Exc","Excelsa",I227="Ara","Arabica",I227="Lib","Liberica")</f>
        <v>Robusta</v>
      </c>
      <c r="O227" t="str" cm="1">
        <f t="array" ref="O227">_xlfn.SWITCH($J227,"M","Medium","L","Light","D","Dark")</f>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IF(_xlfn.XLOOKUP(C228,customers!$A$1:$A$1001,customers!$C$1:$C$1001,,0)=0,"Not _Provided",_xlfn.XLOOKUP(C228,customers!$A$1:$A$1001,customers!$C$1:$C$1001,,0))</f>
        <v>ahutchens6a@amazonaws.com</v>
      </c>
      <c r="H228" s="2" t="str">
        <f>_xlfn.XLOOKUP(C228,customers!$A$1:$A$1001,customers!$G$1:$G$1001,,0)</f>
        <v>United States</v>
      </c>
      <c r="I228" t="str">
        <f>INDEX(products!$B$1:$B$49,MATCH($D228,products!$A$1:$A$49,0))</f>
        <v>Ara</v>
      </c>
      <c r="J228" t="str">
        <f>INDEX(products!$C$1:$C$49,MATCH($D228,products!$A$1:$A$49,0))</f>
        <v>M</v>
      </c>
      <c r="K228" s="4">
        <f>INDEX(products!$D$1:$D$49,MATCH($D228,products!$A$1:$A$49,0))</f>
        <v>2.5</v>
      </c>
      <c r="L228" s="5">
        <f>INDEX(products!$E$1:$E$49,MATCH($D228,products!$A$1:$A$49,0))</f>
        <v>25.874999999999996</v>
      </c>
      <c r="M228" s="5">
        <f t="shared" si="3"/>
        <v>129.37499999999997</v>
      </c>
      <c r="N228" t="str" cm="1">
        <f t="array" ref="N228">_xlfn.IFS(I228="Rob","Robusta",I228="Exc","Excelsa",I228="Ara","Arabica",I228="Lib","Liberica")</f>
        <v>Arabica</v>
      </c>
      <c r="O228" t="str" cm="1">
        <f t="array" ref="O228">_xlfn.SWITCH($J228,"M","Medium","L","Light","D","Dark")</f>
        <v>Medium</v>
      </c>
      <c r="P228" t="str">
        <f>_xlfn.XLOOKUP(Table1[[#This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IF(_xlfn.XLOOKUP(C229,customers!$A$1:$A$1001,customers!$C$1:$C$1001,,0)=0,"Not _Provided",_xlfn.XLOOKUP(C229,customers!$A$1:$A$1001,customers!$C$1:$C$1001,,0))</f>
        <v>nwyvill6b@naver.com</v>
      </c>
      <c r="H229" s="2" t="str">
        <f>_xlfn.XLOOKUP(C229,customers!$A$1:$A$1001,customers!$G$1:$G$1001,,0)</f>
        <v>United Kingdom</v>
      </c>
      <c r="I229" t="str">
        <f>INDEX(products!$B$1:$B$49,MATCH($D229,products!$A$1:$A$49,0))</f>
        <v>Rob</v>
      </c>
      <c r="J229" t="str">
        <f>INDEX(products!$C$1:$C$49,MATCH($D229,products!$A$1:$A$49,0))</f>
        <v>D</v>
      </c>
      <c r="K229" s="4">
        <f>INDEX(products!$D$1:$D$49,MATCH($D229,products!$A$1:$A$49,0))</f>
        <v>0.2</v>
      </c>
      <c r="L229" s="5">
        <f>INDEX(products!$E$1:$E$49,MATCH($D229,products!$A$1:$A$49,0))</f>
        <v>2.6849999999999996</v>
      </c>
      <c r="M229" s="5">
        <f t="shared" si="3"/>
        <v>16.11</v>
      </c>
      <c r="N229" t="str" cm="1">
        <f t="array" ref="N229">_xlfn.IFS(I229="Rob","Robusta",I229="Exc","Excelsa",I229="Ara","Arabica",I229="Lib","Liberica")</f>
        <v>Robusta</v>
      </c>
      <c r="O229" t="str" cm="1">
        <f t="array" ref="O229">_xlfn.SWITCH($J229,"M","Medium","L","Light","D","Dark")</f>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IF(_xlfn.XLOOKUP(C230,customers!$A$1:$A$1001,customers!$C$1:$C$1001,,0)=0,"Not _Provided",_xlfn.XLOOKUP(C230,customers!$A$1:$A$1001,customers!$C$1:$C$1001,,0))</f>
        <v>bmathon6c@barnesandnoble.com</v>
      </c>
      <c r="H230" s="2" t="str">
        <f>_xlfn.XLOOKUP(C230,customers!$A$1:$A$1001,customers!$G$1:$G$1001,,0)</f>
        <v>United States</v>
      </c>
      <c r="I230" t="str">
        <f>INDEX(products!$B$1:$B$49,MATCH($D230,products!$A$1:$A$49,0))</f>
        <v>Rob</v>
      </c>
      <c r="J230" t="str">
        <f>INDEX(products!$C$1:$C$49,MATCH($D230,products!$A$1:$A$49,0))</f>
        <v>L</v>
      </c>
      <c r="K230" s="4">
        <f>INDEX(products!$D$1:$D$49,MATCH($D230,products!$A$1:$A$49,0))</f>
        <v>0.2</v>
      </c>
      <c r="L230" s="5">
        <f>INDEX(products!$E$1:$E$49,MATCH($D230,products!$A$1:$A$49,0))</f>
        <v>3.5849999999999995</v>
      </c>
      <c r="M230" s="5">
        <f t="shared" si="3"/>
        <v>17.924999999999997</v>
      </c>
      <c r="N230" t="str" cm="1">
        <f t="array" ref="N230">_xlfn.IFS(I230="Rob","Robusta",I230="Exc","Excelsa",I230="Ara","Arabica",I230="Lib","Liberica")</f>
        <v>Robusta</v>
      </c>
      <c r="O230" t="str" cm="1">
        <f t="array" ref="O230">_xlfn.SWITCH($J230,"M","Medium","L","Light","D","Dark")</f>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IF(_xlfn.XLOOKUP(C231,customers!$A$1:$A$1001,customers!$C$1:$C$1001,,0)=0,"Not _Provided",_xlfn.XLOOKUP(C231,customers!$A$1:$A$1001,customers!$C$1:$C$1001,,0))</f>
        <v>kstreight6d@about.com</v>
      </c>
      <c r="H231" s="2" t="str">
        <f>_xlfn.XLOOKUP(C231,customers!$A$1:$A$1001,customers!$G$1:$G$1001,,0)</f>
        <v>United States</v>
      </c>
      <c r="I231" t="str">
        <f>INDEX(products!$B$1:$B$49,MATCH($D231,products!$A$1:$A$49,0))</f>
        <v>Lib</v>
      </c>
      <c r="J231" t="str">
        <f>INDEX(products!$C$1:$C$49,MATCH($D231,products!$A$1:$A$49,0))</f>
        <v>M</v>
      </c>
      <c r="K231" s="4">
        <f>INDEX(products!$D$1:$D$49,MATCH($D231,products!$A$1:$A$49,0))</f>
        <v>0.2</v>
      </c>
      <c r="L231" s="5">
        <f>INDEX(products!$E$1:$E$49,MATCH($D231,products!$A$1:$A$49,0))</f>
        <v>4.3650000000000002</v>
      </c>
      <c r="M231" s="5">
        <f t="shared" si="3"/>
        <v>8.73</v>
      </c>
      <c r="N231" t="str" cm="1">
        <f t="array" ref="N231">_xlfn.IFS(I231="Rob","Robusta",I231="Exc","Excelsa",I231="Ara","Arabica",I231="Lib","Liberica")</f>
        <v>Liberica</v>
      </c>
      <c r="O231" t="str" cm="1">
        <f t="array" ref="O231">_xlfn.SWITCH($J231,"M","Medium","L","Light","D","Dark")</f>
        <v>Medium</v>
      </c>
      <c r="P231" t="str">
        <f>_xlfn.XLOOKUP(Table1[[#This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IF(_xlfn.XLOOKUP(C232,customers!$A$1:$A$1001,customers!$C$1:$C$1001,,0)=0,"Not _Provided",_xlfn.XLOOKUP(C232,customers!$A$1:$A$1001,customers!$C$1:$C$1001,,0))</f>
        <v>pcutchie6e@globo.com</v>
      </c>
      <c r="H232" s="2" t="str">
        <f>_xlfn.XLOOKUP(C232,customers!$A$1:$A$1001,customers!$G$1:$G$1001,,0)</f>
        <v>United States</v>
      </c>
      <c r="I232" t="str">
        <f>INDEX(products!$B$1:$B$49,MATCH($D232,products!$A$1:$A$49,0))</f>
        <v>Ara</v>
      </c>
      <c r="J232" t="str">
        <f>INDEX(products!$C$1:$C$49,MATCH($D232,products!$A$1:$A$49,0))</f>
        <v>M</v>
      </c>
      <c r="K232" s="4">
        <f>INDEX(products!$D$1:$D$49,MATCH($D232,products!$A$1:$A$49,0))</f>
        <v>2.5</v>
      </c>
      <c r="L232" s="5">
        <f>INDEX(products!$E$1:$E$49,MATCH($D232,products!$A$1:$A$49,0))</f>
        <v>25.874999999999996</v>
      </c>
      <c r="M232" s="5">
        <f t="shared" si="3"/>
        <v>51.749999999999993</v>
      </c>
      <c r="N232" t="str" cm="1">
        <f t="array" ref="N232">_xlfn.IFS(I232="Rob","Robusta",I232="Exc","Excelsa",I232="Ara","Arabica",I232="Lib","Liberica")</f>
        <v>Arabica</v>
      </c>
      <c r="O232" t="str" cm="1">
        <f t="array" ref="O232">_xlfn.SWITCH($J232,"M","Medium","L","Light","D","Dark")</f>
        <v>Medium</v>
      </c>
      <c r="P232" t="str">
        <f>_xlfn.XLOOKUP(Table1[[#This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IF(_xlfn.XLOOKUP(C233,customers!$A$1:$A$1001,customers!$C$1:$C$1001,,0)=0,"Not _Provided",_xlfn.XLOOKUP(C233,customers!$A$1:$A$1001,customers!$C$1:$C$1001,,0))</f>
        <v>Not _Provided</v>
      </c>
      <c r="H233" s="2" t="str">
        <f>_xlfn.XLOOKUP(C233,customers!$A$1:$A$1001,customers!$G$1:$G$1001,,0)</f>
        <v>United States</v>
      </c>
      <c r="I233" t="str">
        <f>INDEX(products!$B$1:$B$49,MATCH($D233,products!$A$1:$A$49,0))</f>
        <v>Lib</v>
      </c>
      <c r="J233" t="str">
        <f>INDEX(products!$C$1:$C$49,MATCH($D233,products!$A$1:$A$49,0))</f>
        <v>M</v>
      </c>
      <c r="K233" s="4">
        <f>INDEX(products!$D$1:$D$49,MATCH($D233,products!$A$1:$A$49,0))</f>
        <v>0.2</v>
      </c>
      <c r="L233" s="5">
        <f>INDEX(products!$E$1:$E$49,MATCH($D233,products!$A$1:$A$49,0))</f>
        <v>4.3650000000000002</v>
      </c>
      <c r="M233" s="5">
        <f t="shared" si="3"/>
        <v>8.73</v>
      </c>
      <c r="N233" t="str" cm="1">
        <f t="array" ref="N233">_xlfn.IFS(I233="Rob","Robusta",I233="Exc","Excelsa",I233="Ara","Arabica",I233="Lib","Liberica")</f>
        <v>Liberica</v>
      </c>
      <c r="O233" t="str" cm="1">
        <f t="array" ref="O233">_xlfn.SWITCH($J233,"M","Medium","L","Light","D","Dark")</f>
        <v>Medium</v>
      </c>
      <c r="P233" t="str">
        <f>_xlfn.XLOOKUP(Table1[[#This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IF(_xlfn.XLOOKUP(C234,customers!$A$1:$A$1001,customers!$C$1:$C$1001,,0)=0,"Not _Provided",_xlfn.XLOOKUP(C234,customers!$A$1:$A$1001,customers!$C$1:$C$1001,,0))</f>
        <v>cgheraldi6g@opera.com</v>
      </c>
      <c r="H234" s="2" t="str">
        <f>_xlfn.XLOOKUP(C234,customers!$A$1:$A$1001,customers!$G$1:$G$1001,,0)</f>
        <v>United Kingdom</v>
      </c>
      <c r="I234" t="str">
        <f>INDEX(products!$B$1:$B$49,MATCH($D234,products!$A$1:$A$49,0))</f>
        <v>Lib</v>
      </c>
      <c r="J234" t="str">
        <f>INDEX(products!$C$1:$C$49,MATCH($D234,products!$A$1:$A$49,0))</f>
        <v>L</v>
      </c>
      <c r="K234" s="4">
        <f>INDEX(products!$D$1:$D$49,MATCH($D234,products!$A$1:$A$49,0))</f>
        <v>0.2</v>
      </c>
      <c r="L234" s="5">
        <f>INDEX(products!$E$1:$E$49,MATCH($D234,products!$A$1:$A$49,0))</f>
        <v>4.7549999999999999</v>
      </c>
      <c r="M234" s="5">
        <f t="shared" si="3"/>
        <v>23.774999999999999</v>
      </c>
      <c r="N234" t="str" cm="1">
        <f t="array" ref="N234">_xlfn.IFS(I234="Rob","Robusta",I234="Exc","Excelsa",I234="Ara","Arabica",I234="Lib","Liberica")</f>
        <v>Liberica</v>
      </c>
      <c r="O234" t="str" cm="1">
        <f t="array" ref="O234">_xlfn.SWITCH($J234,"M","Medium","L","Light","D","Dark")</f>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IF(_xlfn.XLOOKUP(C235,customers!$A$1:$A$1001,customers!$C$1:$C$1001,,0)=0,"Not _Provided",_xlfn.XLOOKUP(C235,customers!$A$1:$A$1001,customers!$C$1:$C$1001,,0))</f>
        <v>bkenwell6h@over-blog.com</v>
      </c>
      <c r="H235" s="2" t="str">
        <f>_xlfn.XLOOKUP(C235,customers!$A$1:$A$1001,customers!$G$1:$G$1001,,0)</f>
        <v>United States</v>
      </c>
      <c r="I235" t="str">
        <f>INDEX(products!$B$1:$B$49,MATCH($D235,products!$A$1:$A$49,0))</f>
        <v>Exc</v>
      </c>
      <c r="J235" t="str">
        <f>INDEX(products!$C$1:$C$49,MATCH($D235,products!$A$1:$A$49,0))</f>
        <v>M</v>
      </c>
      <c r="K235" s="4">
        <f>INDEX(products!$D$1:$D$49,MATCH($D235,products!$A$1:$A$49,0))</f>
        <v>0.2</v>
      </c>
      <c r="L235" s="5">
        <f>INDEX(products!$E$1:$E$49,MATCH($D235,products!$A$1:$A$49,0))</f>
        <v>4.125</v>
      </c>
      <c r="M235" s="5">
        <f t="shared" si="3"/>
        <v>20.625</v>
      </c>
      <c r="N235" t="str" cm="1">
        <f t="array" ref="N235">_xlfn.IFS(I235="Rob","Robusta",I235="Exc","Excelsa",I235="Ara","Arabica",I235="Lib","Liberica")</f>
        <v>Excelsa</v>
      </c>
      <c r="O235" t="str" cm="1">
        <f t="array" ref="O235">_xlfn.SWITCH($J235,"M","Medium","L","Light","D","Dark")</f>
        <v>Medium</v>
      </c>
      <c r="P235" t="str">
        <f>_xlfn.XLOOKUP(Table1[[#This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IF(_xlfn.XLOOKUP(C236,customers!$A$1:$A$1001,customers!$C$1:$C$1001,,0)=0,"Not _Provided",_xlfn.XLOOKUP(C236,customers!$A$1:$A$1001,customers!$C$1:$C$1001,,0))</f>
        <v>tsutty6i@google.es</v>
      </c>
      <c r="H236" s="2" t="str">
        <f>_xlfn.XLOOKUP(C236,customers!$A$1:$A$1001,customers!$G$1:$G$1001,,0)</f>
        <v>United States</v>
      </c>
      <c r="I236" t="str">
        <f>INDEX(products!$B$1:$B$49,MATCH($D236,products!$A$1:$A$49,0))</f>
        <v>Lib</v>
      </c>
      <c r="J236" t="str">
        <f>INDEX(products!$C$1:$C$49,MATCH($D236,products!$A$1:$A$49,0))</f>
        <v>L</v>
      </c>
      <c r="K236" s="4">
        <f>INDEX(products!$D$1:$D$49,MATCH($D236,products!$A$1:$A$49,0))</f>
        <v>2.5</v>
      </c>
      <c r="L236" s="5">
        <f>INDEX(products!$E$1:$E$49,MATCH($D236,products!$A$1:$A$49,0))</f>
        <v>36.454999999999998</v>
      </c>
      <c r="M236" s="5">
        <f t="shared" si="3"/>
        <v>36.454999999999998</v>
      </c>
      <c r="N236" t="str" cm="1">
        <f t="array" ref="N236">_xlfn.IFS(I236="Rob","Robusta",I236="Exc","Excelsa",I236="Ara","Arabica",I236="Lib","Liberica")</f>
        <v>Liberica</v>
      </c>
      <c r="O236" t="str" cm="1">
        <f t="array" ref="O236">_xlfn.SWITCH($J236,"M","Medium","L","Light","D","Dark")</f>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IF(_xlfn.XLOOKUP(C237,customers!$A$1:$A$1001,customers!$C$1:$C$1001,,0)=0,"Not _Provided",_xlfn.XLOOKUP(C237,customers!$A$1:$A$1001,customers!$C$1:$C$1001,,0))</f>
        <v>Not _Provided</v>
      </c>
      <c r="H237" s="2" t="str">
        <f>_xlfn.XLOOKUP(C237,customers!$A$1:$A$1001,customers!$G$1:$G$1001,,0)</f>
        <v>Ireland</v>
      </c>
      <c r="I237" t="str">
        <f>INDEX(products!$B$1:$B$49,MATCH($D237,products!$A$1:$A$49,0))</f>
        <v>Lib</v>
      </c>
      <c r="J237" t="str">
        <f>INDEX(products!$C$1:$C$49,MATCH($D237,products!$A$1:$A$49,0))</f>
        <v>L</v>
      </c>
      <c r="K237" s="4">
        <f>INDEX(products!$D$1:$D$49,MATCH($D237,products!$A$1:$A$49,0))</f>
        <v>2.5</v>
      </c>
      <c r="L237" s="5">
        <f>INDEX(products!$E$1:$E$49,MATCH($D237,products!$A$1:$A$49,0))</f>
        <v>36.454999999999998</v>
      </c>
      <c r="M237" s="5">
        <f t="shared" si="3"/>
        <v>182.27499999999998</v>
      </c>
      <c r="N237" t="str" cm="1">
        <f t="array" ref="N237">_xlfn.IFS(I237="Rob","Robusta",I237="Exc","Excelsa",I237="Ara","Arabica",I237="Lib","Liberica")</f>
        <v>Liberica</v>
      </c>
      <c r="O237" t="str" cm="1">
        <f t="array" ref="O237">_xlfn.SWITCH($J237,"M","Medium","L","Light","D","Dark")</f>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IF(_xlfn.XLOOKUP(C238,customers!$A$1:$A$1001,customers!$C$1:$C$1001,,0)=0,"Not _Provided",_xlfn.XLOOKUP(C238,customers!$A$1:$A$1001,customers!$C$1:$C$1001,,0))</f>
        <v>charce6k@cafepress.com</v>
      </c>
      <c r="H238" s="2" t="str">
        <f>_xlfn.XLOOKUP(C238,customers!$A$1:$A$1001,customers!$G$1:$G$1001,,0)</f>
        <v>Ireland</v>
      </c>
      <c r="I238" t="str">
        <f>INDEX(products!$B$1:$B$49,MATCH($D238,products!$A$1:$A$49,0))</f>
        <v>Lib</v>
      </c>
      <c r="J238" t="str">
        <f>INDEX(products!$C$1:$C$49,MATCH($D238,products!$A$1:$A$49,0))</f>
        <v>D</v>
      </c>
      <c r="K238" s="4">
        <f>INDEX(products!$D$1:$D$49,MATCH($D238,products!$A$1:$A$49,0))</f>
        <v>2.5</v>
      </c>
      <c r="L238" s="5">
        <f>INDEX(products!$E$1:$E$49,MATCH($D238,products!$A$1:$A$49,0))</f>
        <v>29.784999999999997</v>
      </c>
      <c r="M238" s="5">
        <f t="shared" si="3"/>
        <v>89.35499999999999</v>
      </c>
      <c r="N238" t="str" cm="1">
        <f t="array" ref="N238">_xlfn.IFS(I238="Rob","Robusta",I238="Exc","Excelsa",I238="Ara","Arabica",I238="Lib","Liberica")</f>
        <v>Liberica</v>
      </c>
      <c r="O238" t="str" cm="1">
        <f t="array" ref="O238">_xlfn.SWITCH($J238,"M","Medium","L","Light","D","Dark")</f>
        <v>Dark</v>
      </c>
      <c r="P238" t="str">
        <f>_xlfn.XLOOKUP(Table1[[#This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IF(_xlfn.XLOOKUP(C239,customers!$A$1:$A$1001,customers!$C$1:$C$1001,,0)=0,"Not _Provided",_xlfn.XLOOKUP(C239,customers!$A$1:$A$1001,customers!$C$1:$C$1001,,0))</f>
        <v>Not _Provided</v>
      </c>
      <c r="H239" s="2" t="str">
        <f>_xlfn.XLOOKUP(C239,customers!$A$1:$A$1001,customers!$G$1:$G$1001,,0)</f>
        <v>United States</v>
      </c>
      <c r="I239" t="str">
        <f>INDEX(products!$B$1:$B$49,MATCH($D239,products!$A$1:$A$49,0))</f>
        <v>Rob</v>
      </c>
      <c r="J239" t="str">
        <f>INDEX(products!$C$1:$C$49,MATCH($D239,products!$A$1:$A$49,0))</f>
        <v>L</v>
      </c>
      <c r="K239" s="4">
        <f>INDEX(products!$D$1:$D$49,MATCH($D239,products!$A$1:$A$49,0))</f>
        <v>0.2</v>
      </c>
      <c r="L239" s="5">
        <f>INDEX(products!$E$1:$E$49,MATCH($D239,products!$A$1:$A$49,0))</f>
        <v>3.5849999999999995</v>
      </c>
      <c r="M239" s="5">
        <f t="shared" si="3"/>
        <v>3.5849999999999995</v>
      </c>
      <c r="N239" t="str" cm="1">
        <f t="array" ref="N239">_xlfn.IFS(I239="Rob","Robusta",I239="Exc","Excelsa",I239="Ara","Arabica",I239="Lib","Liberica")</f>
        <v>Robusta</v>
      </c>
      <c r="O239" t="str" cm="1">
        <f t="array" ref="O239">_xlfn.SWITCH($J239,"M","Medium","L","Light","D","Dark")</f>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IF(_xlfn.XLOOKUP(C240,customers!$A$1:$A$1001,customers!$C$1:$C$1001,,0)=0,"Not _Provided",_xlfn.XLOOKUP(C240,customers!$A$1:$A$1001,customers!$C$1:$C$1001,,0))</f>
        <v>fdrysdale6m@symantec.com</v>
      </c>
      <c r="H240" s="2" t="str">
        <f>_xlfn.XLOOKUP(C240,customers!$A$1:$A$1001,customers!$G$1:$G$1001,,0)</f>
        <v>United States</v>
      </c>
      <c r="I240" t="str">
        <f>INDEX(products!$B$1:$B$49,MATCH($D240,products!$A$1:$A$49,0))</f>
        <v>Rob</v>
      </c>
      <c r="J240" t="str">
        <f>INDEX(products!$C$1:$C$49,MATCH($D240,products!$A$1:$A$49,0))</f>
        <v>M</v>
      </c>
      <c r="K240" s="4">
        <f>INDEX(products!$D$1:$D$49,MATCH($D240,products!$A$1:$A$49,0))</f>
        <v>2.5</v>
      </c>
      <c r="L240" s="5">
        <f>INDEX(products!$E$1:$E$49,MATCH($D240,products!$A$1:$A$49,0))</f>
        <v>22.884999999999998</v>
      </c>
      <c r="M240" s="5">
        <f t="shared" si="3"/>
        <v>45.769999999999996</v>
      </c>
      <c r="N240" t="str" cm="1">
        <f t="array" ref="N240">_xlfn.IFS(I240="Rob","Robusta",I240="Exc","Excelsa",I240="Ara","Arabica",I240="Lib","Liberica")</f>
        <v>Robusta</v>
      </c>
      <c r="O240" t="str" cm="1">
        <f t="array" ref="O240">_xlfn.SWITCH($J240,"M","Medium","L","Light","D","Dark")</f>
        <v>Medium</v>
      </c>
      <c r="P240" t="str">
        <f>_xlfn.XLOOKUP(Table1[[#This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IF(_xlfn.XLOOKUP(C241,customers!$A$1:$A$1001,customers!$C$1:$C$1001,,0)=0,"Not _Provided",_xlfn.XLOOKUP(C241,customers!$A$1:$A$1001,customers!$C$1:$C$1001,,0))</f>
        <v>dmagowan6n@fc2.com</v>
      </c>
      <c r="H241" s="2" t="str">
        <f>_xlfn.XLOOKUP(C241,customers!$A$1:$A$1001,customers!$G$1:$G$1001,,0)</f>
        <v>United States</v>
      </c>
      <c r="I241" t="str">
        <f>INDEX(products!$B$1:$B$49,MATCH($D241,products!$A$1:$A$49,0))</f>
        <v>Exc</v>
      </c>
      <c r="J241" t="str">
        <f>INDEX(products!$C$1:$C$49,MATCH($D241,products!$A$1:$A$49,0))</f>
        <v>L</v>
      </c>
      <c r="K241" s="4">
        <f>INDEX(products!$D$1:$D$49,MATCH($D241,products!$A$1:$A$49,0))</f>
        <v>1</v>
      </c>
      <c r="L241" s="5">
        <f>INDEX(products!$E$1:$E$49,MATCH($D241,products!$A$1:$A$49,0))</f>
        <v>14.85</v>
      </c>
      <c r="M241" s="5">
        <f t="shared" si="3"/>
        <v>59.4</v>
      </c>
      <c r="N241" t="str" cm="1">
        <f t="array" ref="N241">_xlfn.IFS(I241="Rob","Robusta",I241="Exc","Excelsa",I241="Ara","Arabica",I241="Lib","Liberica")</f>
        <v>Excelsa</v>
      </c>
      <c r="O241" t="str" cm="1">
        <f t="array" ref="O241">_xlfn.SWITCH($J241,"M","Medium","L","Light","D","Dark")</f>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IF(_xlfn.XLOOKUP(C242,customers!$A$1:$A$1001,customers!$C$1:$C$1001,,0)=0,"Not _Provided",_xlfn.XLOOKUP(C242,customers!$A$1:$A$1001,customers!$C$1:$C$1001,,0))</f>
        <v>Not _Provided</v>
      </c>
      <c r="H242" s="2" t="str">
        <f>_xlfn.XLOOKUP(C242,customers!$A$1:$A$1001,customers!$G$1:$G$1001,,0)</f>
        <v>United States</v>
      </c>
      <c r="I242" t="str">
        <f>INDEX(products!$B$1:$B$49,MATCH($D242,products!$A$1:$A$49,0))</f>
        <v>Ara</v>
      </c>
      <c r="J242" t="str">
        <f>INDEX(products!$C$1:$C$49,MATCH($D242,products!$A$1:$A$49,0))</f>
        <v>M</v>
      </c>
      <c r="K242" s="4">
        <f>INDEX(products!$D$1:$D$49,MATCH($D242,products!$A$1:$A$49,0))</f>
        <v>2.5</v>
      </c>
      <c r="L242" s="5">
        <f>INDEX(products!$E$1:$E$49,MATCH($D242,products!$A$1:$A$49,0))</f>
        <v>25.874999999999996</v>
      </c>
      <c r="M242" s="5">
        <f t="shared" si="3"/>
        <v>155.24999999999997</v>
      </c>
      <c r="N242" t="str" cm="1">
        <f t="array" ref="N242">_xlfn.IFS(I242="Rob","Robusta",I242="Exc","Excelsa",I242="Ara","Arabica",I242="Lib","Liberica")</f>
        <v>Arabica</v>
      </c>
      <c r="O242" t="str" cm="1">
        <f t="array" ref="O242">_xlfn.SWITCH($J242,"M","Medium","L","Light","D","Dark")</f>
        <v>Medium</v>
      </c>
      <c r="P242" t="str">
        <f>_xlfn.XLOOKUP(Table1[[#This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IF(_xlfn.XLOOKUP(C243,customers!$A$1:$A$1001,customers!$C$1:$C$1001,,0)=0,"Not _Provided",_xlfn.XLOOKUP(C243,customers!$A$1:$A$1001,customers!$C$1:$C$1001,,0))</f>
        <v>Not _Provided</v>
      </c>
      <c r="H243" s="2" t="str">
        <f>_xlfn.XLOOKUP(C243,customers!$A$1:$A$1001,customers!$G$1:$G$1001,,0)</f>
        <v>United States</v>
      </c>
      <c r="I243" t="str">
        <f>INDEX(products!$B$1:$B$49,MATCH($D243,products!$A$1:$A$49,0))</f>
        <v>Rob</v>
      </c>
      <c r="J243" t="str">
        <f>INDEX(products!$C$1:$C$49,MATCH($D243,products!$A$1:$A$49,0))</f>
        <v>M</v>
      </c>
      <c r="K243" s="4">
        <f>INDEX(products!$D$1:$D$49,MATCH($D243,products!$A$1:$A$49,0))</f>
        <v>2.5</v>
      </c>
      <c r="L243" s="5">
        <f>INDEX(products!$E$1:$E$49,MATCH($D243,products!$A$1:$A$49,0))</f>
        <v>22.884999999999998</v>
      </c>
      <c r="M243" s="5">
        <f t="shared" si="3"/>
        <v>45.769999999999996</v>
      </c>
      <c r="N243" t="str" cm="1">
        <f t="array" ref="N243">_xlfn.IFS(I243="Rob","Robusta",I243="Exc","Excelsa",I243="Ara","Arabica",I243="Lib","Liberica")</f>
        <v>Robusta</v>
      </c>
      <c r="O243" t="str" cm="1">
        <f t="array" ref="O243">_xlfn.SWITCH($J243,"M","Medium","L","Light","D","Dark")</f>
        <v>Medium</v>
      </c>
      <c r="P243" t="str">
        <f>_xlfn.XLOOKUP(Table1[[#This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IF(_xlfn.XLOOKUP(C244,customers!$A$1:$A$1001,customers!$C$1:$C$1001,,0)=0,"Not _Provided",_xlfn.XLOOKUP(C244,customers!$A$1:$A$1001,customers!$C$1:$C$1001,,0))</f>
        <v>srushbrooke6q@youku.com</v>
      </c>
      <c r="H244" s="2" t="str">
        <f>_xlfn.XLOOKUP(C244,customers!$A$1:$A$1001,customers!$G$1:$G$1001,,0)</f>
        <v>United States</v>
      </c>
      <c r="I244" t="str">
        <f>INDEX(products!$B$1:$B$49,MATCH($D244,products!$A$1:$A$49,0))</f>
        <v>Exc</v>
      </c>
      <c r="J244" t="str">
        <f>INDEX(products!$C$1:$C$49,MATCH($D244,products!$A$1:$A$49,0))</f>
        <v>D</v>
      </c>
      <c r="K244" s="4">
        <f>INDEX(products!$D$1:$D$49,MATCH($D244,products!$A$1:$A$49,0))</f>
        <v>1</v>
      </c>
      <c r="L244" s="5">
        <f>INDEX(products!$E$1:$E$49,MATCH($D244,products!$A$1:$A$49,0))</f>
        <v>12.15</v>
      </c>
      <c r="M244" s="5">
        <f t="shared" si="3"/>
        <v>36.450000000000003</v>
      </c>
      <c r="N244" t="str" cm="1">
        <f t="array" ref="N244">_xlfn.IFS(I244="Rob","Robusta",I244="Exc","Excelsa",I244="Ara","Arabica",I244="Lib","Liberica")</f>
        <v>Excelsa</v>
      </c>
      <c r="O244" t="str" cm="1">
        <f t="array" ref="O244">_xlfn.SWITCH($J244,"M","Medium","L","Light","D","Dark")</f>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IF(_xlfn.XLOOKUP(C245,customers!$A$1:$A$1001,customers!$C$1:$C$1001,,0)=0,"Not _Provided",_xlfn.XLOOKUP(C245,customers!$A$1:$A$1001,customers!$C$1:$C$1001,,0))</f>
        <v>tdrynan6r@deviantart.com</v>
      </c>
      <c r="H245" s="2" t="str">
        <f>_xlfn.XLOOKUP(C245,customers!$A$1:$A$1001,customers!$G$1:$G$1001,,0)</f>
        <v>United States</v>
      </c>
      <c r="I245" t="str">
        <f>INDEX(products!$B$1:$B$49,MATCH($D245,products!$A$1:$A$49,0))</f>
        <v>Exc</v>
      </c>
      <c r="J245" t="str">
        <f>INDEX(products!$C$1:$C$49,MATCH($D245,products!$A$1:$A$49,0))</f>
        <v>D</v>
      </c>
      <c r="K245" s="4">
        <f>INDEX(products!$D$1:$D$49,MATCH($D245,products!$A$1:$A$49,0))</f>
        <v>0.5</v>
      </c>
      <c r="L245" s="5">
        <f>INDEX(products!$E$1:$E$49,MATCH($D245,products!$A$1:$A$49,0))</f>
        <v>7.29</v>
      </c>
      <c r="M245" s="5">
        <f t="shared" si="3"/>
        <v>29.16</v>
      </c>
      <c r="N245" t="str" cm="1">
        <f t="array" ref="N245">_xlfn.IFS(I245="Rob","Robusta",I245="Exc","Excelsa",I245="Ara","Arabica",I245="Lib","Liberica")</f>
        <v>Excelsa</v>
      </c>
      <c r="O245" t="str" cm="1">
        <f t="array" ref="O245">_xlfn.SWITCH($J245,"M","Medium","L","Light","D","Dark")</f>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IF(_xlfn.XLOOKUP(C246,customers!$A$1:$A$1001,customers!$C$1:$C$1001,,0)=0,"Not _Provided",_xlfn.XLOOKUP(C246,customers!$A$1:$A$1001,customers!$C$1:$C$1001,,0))</f>
        <v>eyurkov6s@hud.gov</v>
      </c>
      <c r="H246" s="2" t="str">
        <f>_xlfn.XLOOKUP(C246,customers!$A$1:$A$1001,customers!$G$1:$G$1001,,0)</f>
        <v>United States</v>
      </c>
      <c r="I246" t="str">
        <f>INDEX(products!$B$1:$B$49,MATCH($D246,products!$A$1:$A$49,0))</f>
        <v>Lib</v>
      </c>
      <c r="J246" t="str">
        <f>INDEX(products!$C$1:$C$49,MATCH($D246,products!$A$1:$A$49,0))</f>
        <v>M</v>
      </c>
      <c r="K246" s="4">
        <f>INDEX(products!$D$1:$D$49,MATCH($D246,products!$A$1:$A$49,0))</f>
        <v>2.5</v>
      </c>
      <c r="L246" s="5">
        <f>INDEX(products!$E$1:$E$49,MATCH($D246,products!$A$1:$A$49,0))</f>
        <v>33.464999999999996</v>
      </c>
      <c r="M246" s="5">
        <f t="shared" si="3"/>
        <v>133.85999999999999</v>
      </c>
      <c r="N246" t="str" cm="1">
        <f t="array" ref="N246">_xlfn.IFS(I246="Rob","Robusta",I246="Exc","Excelsa",I246="Ara","Arabica",I246="Lib","Liberica")</f>
        <v>Liberica</v>
      </c>
      <c r="O246" t="str" cm="1">
        <f t="array" ref="O246">_xlfn.SWITCH($J246,"M","Medium","L","Light","D","Dark")</f>
        <v>Medium</v>
      </c>
      <c r="P246" t="str">
        <f>_xlfn.XLOOKUP(Table1[[#This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IF(_xlfn.XLOOKUP(C247,customers!$A$1:$A$1001,customers!$C$1:$C$1001,,0)=0,"Not _Provided",_xlfn.XLOOKUP(C247,customers!$A$1:$A$1001,customers!$C$1:$C$1001,,0))</f>
        <v>lmallan6t@state.gov</v>
      </c>
      <c r="H247" s="2" t="str">
        <f>_xlfn.XLOOKUP(C247,customers!$A$1:$A$1001,customers!$G$1:$G$1001,,0)</f>
        <v>United States</v>
      </c>
      <c r="I247" t="str">
        <f>INDEX(products!$B$1:$B$49,MATCH($D247,products!$A$1:$A$49,0))</f>
        <v>Lib</v>
      </c>
      <c r="J247" t="str">
        <f>INDEX(products!$C$1:$C$49,MATCH($D247,products!$A$1:$A$49,0))</f>
        <v>L</v>
      </c>
      <c r="K247" s="4">
        <f>INDEX(products!$D$1:$D$49,MATCH($D247,products!$A$1:$A$49,0))</f>
        <v>0.2</v>
      </c>
      <c r="L247" s="5">
        <f>INDEX(products!$E$1:$E$49,MATCH($D247,products!$A$1:$A$49,0))</f>
        <v>4.7549999999999999</v>
      </c>
      <c r="M247" s="5">
        <f t="shared" si="3"/>
        <v>23.774999999999999</v>
      </c>
      <c r="N247" t="str" cm="1">
        <f t="array" ref="N247">_xlfn.IFS(I247="Rob","Robusta",I247="Exc","Excelsa",I247="Ara","Arabica",I247="Lib","Liberica")</f>
        <v>Liberica</v>
      </c>
      <c r="O247" t="str" cm="1">
        <f t="array" ref="O247">_xlfn.SWITCH($J247,"M","Medium","L","Light","D","Dark")</f>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IF(_xlfn.XLOOKUP(C248,customers!$A$1:$A$1001,customers!$C$1:$C$1001,,0)=0,"Not _Provided",_xlfn.XLOOKUP(C248,customers!$A$1:$A$1001,customers!$C$1:$C$1001,,0))</f>
        <v>gbentjens6u@netlog.com</v>
      </c>
      <c r="H248" s="2" t="str">
        <f>_xlfn.XLOOKUP(C248,customers!$A$1:$A$1001,customers!$G$1:$G$1001,,0)</f>
        <v>United Kingdom</v>
      </c>
      <c r="I248" t="str">
        <f>INDEX(products!$B$1:$B$49,MATCH($D248,products!$A$1:$A$49,0))</f>
        <v>Lib</v>
      </c>
      <c r="J248" t="str">
        <f>INDEX(products!$C$1:$C$49,MATCH($D248,products!$A$1:$A$49,0))</f>
        <v>D</v>
      </c>
      <c r="K248" s="4">
        <f>INDEX(products!$D$1:$D$49,MATCH($D248,products!$A$1:$A$49,0))</f>
        <v>1</v>
      </c>
      <c r="L248" s="5">
        <f>INDEX(products!$E$1:$E$49,MATCH($D248,products!$A$1:$A$49,0))</f>
        <v>12.95</v>
      </c>
      <c r="M248" s="5">
        <f t="shared" si="3"/>
        <v>38.849999999999994</v>
      </c>
      <c r="N248" t="str" cm="1">
        <f t="array" ref="N248">_xlfn.IFS(I248="Rob","Robusta",I248="Exc","Excelsa",I248="Ara","Arabica",I248="Lib","Liberica")</f>
        <v>Liberica</v>
      </c>
      <c r="O248" t="str" cm="1">
        <f t="array" ref="O248">_xlfn.SWITCH($J248,"M","Medium","L","Light","D","Dark")</f>
        <v>Dark</v>
      </c>
      <c r="P248" t="str">
        <f>_xlfn.XLOOKUP(Table1[[#This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IF(_xlfn.XLOOKUP(C249,customers!$A$1:$A$1001,customers!$C$1:$C$1001,,0)=0,"Not _Provided",_xlfn.XLOOKUP(C249,customers!$A$1:$A$1001,customers!$C$1:$C$1001,,0))</f>
        <v>Not _Provided</v>
      </c>
      <c r="H249" s="2" t="str">
        <f>_xlfn.XLOOKUP(C249,customers!$A$1:$A$1001,customers!$G$1:$G$1001,,0)</f>
        <v>Ireland</v>
      </c>
      <c r="I249" t="str">
        <f>INDEX(products!$B$1:$B$49,MATCH($D249,products!$A$1:$A$49,0))</f>
        <v>Rob</v>
      </c>
      <c r="J249" t="str">
        <f>INDEX(products!$C$1:$C$49,MATCH($D249,products!$A$1:$A$49,0))</f>
        <v>L</v>
      </c>
      <c r="K249" s="4">
        <f>INDEX(products!$D$1:$D$49,MATCH($D249,products!$A$1:$A$49,0))</f>
        <v>0.2</v>
      </c>
      <c r="L249" s="5">
        <f>INDEX(products!$E$1:$E$49,MATCH($D249,products!$A$1:$A$49,0))</f>
        <v>3.5849999999999995</v>
      </c>
      <c r="M249" s="5">
        <f t="shared" si="3"/>
        <v>21.509999999999998</v>
      </c>
      <c r="N249" t="str" cm="1">
        <f t="array" ref="N249">_xlfn.IFS(I249="Rob","Robusta",I249="Exc","Excelsa",I249="Ara","Arabica",I249="Lib","Liberica")</f>
        <v>Robusta</v>
      </c>
      <c r="O249" t="str" cm="1">
        <f t="array" ref="O249">_xlfn.SWITCH($J249,"M","Medium","L","Light","D","Dark")</f>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IF(_xlfn.XLOOKUP(C250,customers!$A$1:$A$1001,customers!$C$1:$C$1001,,0)=0,"Not _Provided",_xlfn.XLOOKUP(C250,customers!$A$1:$A$1001,customers!$C$1:$C$1001,,0))</f>
        <v>lentwistle6w@omniture.com</v>
      </c>
      <c r="H250" s="2" t="str">
        <f>_xlfn.XLOOKUP(C250,customers!$A$1:$A$1001,customers!$G$1:$G$1001,,0)</f>
        <v>United States</v>
      </c>
      <c r="I250" t="str">
        <f>INDEX(products!$B$1:$B$49,MATCH($D250,products!$A$1:$A$49,0))</f>
        <v>Ara</v>
      </c>
      <c r="J250" t="str">
        <f>INDEX(products!$C$1:$C$49,MATCH($D250,products!$A$1:$A$49,0))</f>
        <v>D</v>
      </c>
      <c r="K250" s="4">
        <f>INDEX(products!$D$1:$D$49,MATCH($D250,products!$A$1:$A$49,0))</f>
        <v>1</v>
      </c>
      <c r="L250" s="5">
        <f>INDEX(products!$E$1:$E$49,MATCH($D250,products!$A$1:$A$49,0))</f>
        <v>9.9499999999999993</v>
      </c>
      <c r="M250" s="5">
        <f t="shared" si="3"/>
        <v>9.9499999999999993</v>
      </c>
      <c r="N250" t="str" cm="1">
        <f t="array" ref="N250">_xlfn.IFS(I250="Rob","Robusta",I250="Exc","Excelsa",I250="Ara","Arabica",I250="Lib","Liberica")</f>
        <v>Arabica</v>
      </c>
      <c r="O250" t="str" cm="1">
        <f t="array" ref="O250">_xlfn.SWITCH($J250,"M","Medium","L","Light","D","Dark")</f>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IF(_xlfn.XLOOKUP(C251,customers!$A$1:$A$1001,customers!$C$1:$C$1001,,0)=0,"Not _Provided",_xlfn.XLOOKUP(C251,customers!$A$1:$A$1001,customers!$C$1:$C$1001,,0))</f>
        <v>zkiffe74@cyberchimps.com</v>
      </c>
      <c r="H251" s="2" t="str">
        <f>_xlfn.XLOOKUP(C251,customers!$A$1:$A$1001,customers!$G$1:$G$1001,,0)</f>
        <v>United States</v>
      </c>
      <c r="I251" t="str">
        <f>INDEX(products!$B$1:$B$49,MATCH($D251,products!$A$1:$A$49,0))</f>
        <v>Lib</v>
      </c>
      <c r="J251" t="str">
        <f>INDEX(products!$C$1:$C$49,MATCH($D251,products!$A$1:$A$49,0))</f>
        <v>L</v>
      </c>
      <c r="K251" s="4">
        <f>INDEX(products!$D$1:$D$49,MATCH($D251,products!$A$1:$A$49,0))</f>
        <v>1</v>
      </c>
      <c r="L251" s="5">
        <f>INDEX(products!$E$1:$E$49,MATCH($D251,products!$A$1:$A$49,0))</f>
        <v>15.85</v>
      </c>
      <c r="M251" s="5">
        <f t="shared" si="3"/>
        <v>15.85</v>
      </c>
      <c r="N251" t="str" cm="1">
        <f t="array" ref="N251">_xlfn.IFS(I251="Rob","Robusta",I251="Exc","Excelsa",I251="Ara","Arabica",I251="Lib","Liberica")</f>
        <v>Liberica</v>
      </c>
      <c r="O251" t="str" cm="1">
        <f t="array" ref="O251">_xlfn.SWITCH($J251,"M","Medium","L","Light","D","Dark")</f>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IF(_xlfn.XLOOKUP(C252,customers!$A$1:$A$1001,customers!$C$1:$C$1001,,0)=0,"Not _Provided",_xlfn.XLOOKUP(C252,customers!$A$1:$A$1001,customers!$C$1:$C$1001,,0))</f>
        <v>macott6y@pagesperso-orange.fr</v>
      </c>
      <c r="H252" s="2" t="str">
        <f>_xlfn.XLOOKUP(C252,customers!$A$1:$A$1001,customers!$G$1:$G$1001,,0)</f>
        <v>United States</v>
      </c>
      <c r="I252" t="str">
        <f>INDEX(products!$B$1:$B$49,MATCH($D252,products!$A$1:$A$49,0))</f>
        <v>Rob</v>
      </c>
      <c r="J252" t="str">
        <f>INDEX(products!$C$1:$C$49,MATCH($D252,products!$A$1:$A$49,0))</f>
        <v>M</v>
      </c>
      <c r="K252" s="4">
        <f>INDEX(products!$D$1:$D$49,MATCH($D252,products!$A$1:$A$49,0))</f>
        <v>0.2</v>
      </c>
      <c r="L252" s="5">
        <f>INDEX(products!$E$1:$E$49,MATCH($D252,products!$A$1:$A$49,0))</f>
        <v>2.9849999999999999</v>
      </c>
      <c r="M252" s="5">
        <f t="shared" si="3"/>
        <v>2.9849999999999999</v>
      </c>
      <c r="N252" t="str" cm="1">
        <f t="array" ref="N252">_xlfn.IFS(I252="Rob","Robusta",I252="Exc","Excelsa",I252="Ara","Arabica",I252="Lib","Liberica")</f>
        <v>Robusta</v>
      </c>
      <c r="O252" t="str" cm="1">
        <f t="array" ref="O252">_xlfn.SWITCH($J252,"M","Medium","L","Light","D","Dark")</f>
        <v>Medium</v>
      </c>
      <c r="P252" t="str">
        <f>_xlfn.XLOOKUP(Table1[[#This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IF(_xlfn.XLOOKUP(C253,customers!$A$1:$A$1001,customers!$C$1:$C$1001,,0)=0,"Not _Provided",_xlfn.XLOOKUP(C253,customers!$A$1:$A$1001,customers!$C$1:$C$1001,,0))</f>
        <v>cheaviside6z@rediff.com</v>
      </c>
      <c r="H253" s="2" t="str">
        <f>_xlfn.XLOOKUP(C253,customers!$A$1:$A$1001,customers!$G$1:$G$1001,,0)</f>
        <v>United States</v>
      </c>
      <c r="I253" t="str">
        <f>INDEX(products!$B$1:$B$49,MATCH($D253,products!$A$1:$A$49,0))</f>
        <v>Exc</v>
      </c>
      <c r="J253" t="str">
        <f>INDEX(products!$C$1:$C$49,MATCH($D253,products!$A$1:$A$49,0))</f>
        <v>M</v>
      </c>
      <c r="K253" s="4">
        <f>INDEX(products!$D$1:$D$49,MATCH($D253,products!$A$1:$A$49,0))</f>
        <v>1</v>
      </c>
      <c r="L253" s="5">
        <f>INDEX(products!$E$1:$E$49,MATCH($D253,products!$A$1:$A$49,0))</f>
        <v>13.75</v>
      </c>
      <c r="M253" s="5">
        <f t="shared" si="3"/>
        <v>68.75</v>
      </c>
      <c r="N253" t="str" cm="1">
        <f t="array" ref="N253">_xlfn.IFS(I253="Rob","Robusta",I253="Exc","Excelsa",I253="Ara","Arabica",I253="Lib","Liberica")</f>
        <v>Excelsa</v>
      </c>
      <c r="O253" t="str" cm="1">
        <f t="array" ref="O253">_xlfn.SWITCH($J253,"M","Medium","L","Light","D","Dark")</f>
        <v>Medium</v>
      </c>
      <c r="P253" t="str">
        <f>_xlfn.XLOOKUP(Table1[[#This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IF(_xlfn.XLOOKUP(C254,customers!$A$1:$A$1001,customers!$C$1:$C$1001,,0)=0,"Not _Provided",_xlfn.XLOOKUP(C254,customers!$A$1:$A$1001,customers!$C$1:$C$1001,,0))</f>
        <v>Not _Provided</v>
      </c>
      <c r="H254" s="2" t="str">
        <f>_xlfn.XLOOKUP(C254,customers!$A$1:$A$1001,customers!$G$1:$G$1001,,0)</f>
        <v>United States</v>
      </c>
      <c r="I254" t="str">
        <f>INDEX(products!$B$1:$B$49,MATCH($D254,products!$A$1:$A$49,0))</f>
        <v>Ara</v>
      </c>
      <c r="J254" t="str">
        <f>INDEX(products!$C$1:$C$49,MATCH($D254,products!$A$1:$A$49,0))</f>
        <v>D</v>
      </c>
      <c r="K254" s="4">
        <f>INDEX(products!$D$1:$D$49,MATCH($D254,products!$A$1:$A$49,0))</f>
        <v>1</v>
      </c>
      <c r="L254" s="5">
        <f>INDEX(products!$E$1:$E$49,MATCH($D254,products!$A$1:$A$49,0))</f>
        <v>9.9499999999999993</v>
      </c>
      <c r="M254" s="5">
        <f t="shared" si="3"/>
        <v>29.849999999999998</v>
      </c>
      <c r="N254" t="str" cm="1">
        <f t="array" ref="N254">_xlfn.IFS(I254="Rob","Robusta",I254="Exc","Excelsa",I254="Ara","Arabica",I254="Lib","Liberica")</f>
        <v>Arabica</v>
      </c>
      <c r="O254" t="str" cm="1">
        <f t="array" ref="O254">_xlfn.SWITCH($J254,"M","Medium","L","Light","D","Dark")</f>
        <v>Dark</v>
      </c>
      <c r="P254" t="str">
        <f>_xlfn.XLOOKUP(Table1[[#This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IF(_xlfn.XLOOKUP(C255,customers!$A$1:$A$1001,customers!$C$1:$C$1001,,0)=0,"Not _Provided",_xlfn.XLOOKUP(C255,customers!$A$1:$A$1001,customers!$C$1:$C$1001,,0))</f>
        <v>lkernan71@wsj.com</v>
      </c>
      <c r="H255" s="2" t="str">
        <f>_xlfn.XLOOKUP(C255,customers!$A$1:$A$1001,customers!$G$1:$G$1001,,0)</f>
        <v>United States</v>
      </c>
      <c r="I255" t="str">
        <f>INDEX(products!$B$1:$B$49,MATCH($D255,products!$A$1:$A$49,0))</f>
        <v>Lib</v>
      </c>
      <c r="J255" t="str">
        <f>INDEX(products!$C$1:$C$49,MATCH($D255,products!$A$1:$A$49,0))</f>
        <v>M</v>
      </c>
      <c r="K255" s="4">
        <f>INDEX(products!$D$1:$D$49,MATCH($D255,products!$A$1:$A$49,0))</f>
        <v>1</v>
      </c>
      <c r="L255" s="5">
        <f>INDEX(products!$E$1:$E$49,MATCH($D255,products!$A$1:$A$49,0))</f>
        <v>14.55</v>
      </c>
      <c r="M255" s="5">
        <f t="shared" si="3"/>
        <v>58.2</v>
      </c>
      <c r="N255" t="str" cm="1">
        <f t="array" ref="N255">_xlfn.IFS(I255="Rob","Robusta",I255="Exc","Excelsa",I255="Ara","Arabica",I255="Lib","Liberica")</f>
        <v>Liberica</v>
      </c>
      <c r="O255" t="str" cm="1">
        <f t="array" ref="O255">_xlfn.SWITCH($J255,"M","Medium","L","Light","D","Dark")</f>
        <v>Medium</v>
      </c>
      <c r="P255" t="str">
        <f>_xlfn.XLOOKUP(Table1[[#This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IF(_xlfn.XLOOKUP(C256,customers!$A$1:$A$1001,customers!$C$1:$C$1001,,0)=0,"Not _Provided",_xlfn.XLOOKUP(C256,customers!$A$1:$A$1001,customers!$C$1:$C$1001,,0))</f>
        <v>rmclae72@dailymotion.com</v>
      </c>
      <c r="H256" s="2" t="str">
        <f>_xlfn.XLOOKUP(C256,customers!$A$1:$A$1001,customers!$G$1:$G$1001,,0)</f>
        <v>United Kingdom</v>
      </c>
      <c r="I256" t="str">
        <f>INDEX(products!$B$1:$B$49,MATCH($D256,products!$A$1:$A$49,0))</f>
        <v>Rob</v>
      </c>
      <c r="J256" t="str">
        <f>INDEX(products!$C$1:$C$49,MATCH($D256,products!$A$1:$A$49,0))</f>
        <v>L</v>
      </c>
      <c r="K256" s="4">
        <f>INDEX(products!$D$1:$D$49,MATCH($D256,products!$A$1:$A$49,0))</f>
        <v>0.5</v>
      </c>
      <c r="L256" s="5">
        <f>INDEX(products!$E$1:$E$49,MATCH($D256,products!$A$1:$A$49,0))</f>
        <v>7.169999999999999</v>
      </c>
      <c r="M256" s="5">
        <f t="shared" si="3"/>
        <v>28.679999999999996</v>
      </c>
      <c r="N256" t="str" cm="1">
        <f t="array" ref="N256">_xlfn.IFS(I256="Rob","Robusta",I256="Exc","Excelsa",I256="Ara","Arabica",I256="Lib","Liberica")</f>
        <v>Robusta</v>
      </c>
      <c r="O256" t="str" cm="1">
        <f t="array" ref="O256">_xlfn.SWITCH($J256,"M","Medium","L","Light","D","Dark")</f>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IF(_xlfn.XLOOKUP(C257,customers!$A$1:$A$1001,customers!$C$1:$C$1001,,0)=0,"Not _Provided",_xlfn.XLOOKUP(C257,customers!$A$1:$A$1001,customers!$C$1:$C$1001,,0))</f>
        <v>cblowfelde73@ustream.tv</v>
      </c>
      <c r="H257" s="2" t="str">
        <f>_xlfn.XLOOKUP(C257,customers!$A$1:$A$1001,customers!$G$1:$G$1001,,0)</f>
        <v>United States</v>
      </c>
      <c r="I257" t="str">
        <f>INDEX(products!$B$1:$B$49,MATCH($D257,products!$A$1:$A$49,0))</f>
        <v>Rob</v>
      </c>
      <c r="J257" t="str">
        <f>INDEX(products!$C$1:$C$49,MATCH($D257,products!$A$1:$A$49,0))</f>
        <v>L</v>
      </c>
      <c r="K257" s="4">
        <f>INDEX(products!$D$1:$D$49,MATCH($D257,products!$A$1:$A$49,0))</f>
        <v>0.5</v>
      </c>
      <c r="L257" s="5">
        <f>INDEX(products!$E$1:$E$49,MATCH($D257,products!$A$1:$A$49,0))</f>
        <v>7.169999999999999</v>
      </c>
      <c r="M257" s="5">
        <f t="shared" si="3"/>
        <v>21.509999999999998</v>
      </c>
      <c r="N257" t="str" cm="1">
        <f t="array" ref="N257">_xlfn.IFS(I257="Rob","Robusta",I257="Exc","Excelsa",I257="Ara","Arabica",I257="Lib","Liberica")</f>
        <v>Robusta</v>
      </c>
      <c r="O257" t="str" cm="1">
        <f t="array" ref="O257">_xlfn.SWITCH($J257,"M","Medium","L","Light","D","Dark")</f>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IF(_xlfn.XLOOKUP(C258,customers!$A$1:$A$1001,customers!$C$1:$C$1001,,0)=0,"Not _Provided",_xlfn.XLOOKUP(C258,customers!$A$1:$A$1001,customers!$C$1:$C$1001,,0))</f>
        <v>zkiffe74@cyberchimps.com</v>
      </c>
      <c r="H258" s="2" t="str">
        <f>_xlfn.XLOOKUP(C258,customers!$A$1:$A$1001,customers!$G$1:$G$1001,,0)</f>
        <v>United States</v>
      </c>
      <c r="I258" t="str">
        <f>INDEX(products!$B$1:$B$49,MATCH($D258,products!$A$1:$A$49,0))</f>
        <v>Lib</v>
      </c>
      <c r="J258" t="str">
        <f>INDEX(products!$C$1:$C$49,MATCH($D258,products!$A$1:$A$49,0))</f>
        <v>M</v>
      </c>
      <c r="K258" s="4">
        <f>INDEX(products!$D$1:$D$49,MATCH($D258,products!$A$1:$A$49,0))</f>
        <v>0.5</v>
      </c>
      <c r="L258" s="5">
        <f>INDEX(products!$E$1:$E$49,MATCH($D258,products!$A$1:$A$49,0))</f>
        <v>8.73</v>
      </c>
      <c r="M258" s="5">
        <f t="shared" si="3"/>
        <v>17.46</v>
      </c>
      <c r="N258" t="str" cm="1">
        <f t="array" ref="N258">_xlfn.IFS(I258="Rob","Robusta",I258="Exc","Excelsa",I258="Ara","Arabica",I258="Lib","Liberica")</f>
        <v>Liberica</v>
      </c>
      <c r="O258" t="str" cm="1">
        <f t="array" ref="O258">_xlfn.SWITCH($J258,"M","Medium","L","Light","D","Dark")</f>
        <v>Medium</v>
      </c>
      <c r="P258" t="str">
        <f>_xlfn.XLOOKUP(Table1[[#This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IF(_xlfn.XLOOKUP(C259,customers!$A$1:$A$1001,customers!$C$1:$C$1001,,0)=0,"Not _Provided",_xlfn.XLOOKUP(C259,customers!$A$1:$A$1001,customers!$C$1:$C$1001,,0))</f>
        <v>docalleran75@ucla.edu</v>
      </c>
      <c r="H259" s="2" t="str">
        <f>_xlfn.XLOOKUP(C259,customers!$A$1:$A$1001,customers!$G$1:$G$1001,,0)</f>
        <v>United States</v>
      </c>
      <c r="I259" t="str">
        <f>INDEX(products!$B$1:$B$49,MATCH($D259,products!$A$1:$A$49,0))</f>
        <v>Exc</v>
      </c>
      <c r="J259" t="str">
        <f>INDEX(products!$C$1:$C$49,MATCH($D259,products!$A$1:$A$49,0))</f>
        <v>D</v>
      </c>
      <c r="K259" s="4">
        <f>INDEX(products!$D$1:$D$49,MATCH($D259,products!$A$1:$A$49,0))</f>
        <v>2.5</v>
      </c>
      <c r="L259" s="5">
        <f>INDEX(products!$E$1:$E$49,MATCH($D259,products!$A$1:$A$49,0))</f>
        <v>27.945</v>
      </c>
      <c r="M259" s="5">
        <f t="shared" ref="M259:M322" si="4">E259*L259</f>
        <v>27.945</v>
      </c>
      <c r="N259" t="str" cm="1">
        <f t="array" ref="N259">_xlfn.IFS(I259="Rob","Robusta",I259="Exc","Excelsa",I259="Ara","Arabica",I259="Lib","Liberica")</f>
        <v>Excelsa</v>
      </c>
      <c r="O259" t="str" cm="1">
        <f t="array" ref="O259">_xlfn.SWITCH($J259,"M","Medium","L","Light","D","Dark")</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IF(_xlfn.XLOOKUP(C260,customers!$A$1:$A$1001,customers!$C$1:$C$1001,,0)=0,"Not _Provided",_xlfn.XLOOKUP(C260,customers!$A$1:$A$1001,customers!$C$1:$C$1001,,0))</f>
        <v>ccromwell76@desdev.cn</v>
      </c>
      <c r="H260" s="2" t="str">
        <f>_xlfn.XLOOKUP(C260,customers!$A$1:$A$1001,customers!$G$1:$G$1001,,0)</f>
        <v>United States</v>
      </c>
      <c r="I260" t="str">
        <f>INDEX(products!$B$1:$B$49,MATCH($D260,products!$A$1:$A$49,0))</f>
        <v>Exc</v>
      </c>
      <c r="J260" t="str">
        <f>INDEX(products!$C$1:$C$49,MATCH($D260,products!$A$1:$A$49,0))</f>
        <v>D</v>
      </c>
      <c r="K260" s="4">
        <f>INDEX(products!$D$1:$D$49,MATCH($D260,products!$A$1:$A$49,0))</f>
        <v>2.5</v>
      </c>
      <c r="L260" s="5">
        <f>INDEX(products!$E$1:$E$49,MATCH($D260,products!$A$1:$A$49,0))</f>
        <v>27.945</v>
      </c>
      <c r="M260" s="5">
        <f t="shared" si="4"/>
        <v>139.72499999999999</v>
      </c>
      <c r="N260" t="str" cm="1">
        <f t="array" ref="N260">_xlfn.IFS(I260="Rob","Robusta",I260="Exc","Excelsa",I260="Ara","Arabica",I260="Lib","Liberica")</f>
        <v>Excelsa</v>
      </c>
      <c r="O260" t="str" cm="1">
        <f t="array" ref="O260">_xlfn.SWITCH($J260,"M","Medium","L","Light","D","Dark")</f>
        <v>Dark</v>
      </c>
      <c r="P260" t="str">
        <f>_xlfn.XLOOKUP(Table1[[#This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IF(_xlfn.XLOOKUP(C261,customers!$A$1:$A$1001,customers!$C$1:$C$1001,,0)=0,"Not _Provided",_xlfn.XLOOKUP(C261,customers!$A$1:$A$1001,customers!$C$1:$C$1001,,0))</f>
        <v>ihay77@lulu.com</v>
      </c>
      <c r="H261" s="2" t="str">
        <f>_xlfn.XLOOKUP(C261,customers!$A$1:$A$1001,customers!$G$1:$G$1001,,0)</f>
        <v>United Kingdom</v>
      </c>
      <c r="I261" t="str">
        <f>INDEX(products!$B$1:$B$49,MATCH($D261,products!$A$1:$A$49,0))</f>
        <v>Rob</v>
      </c>
      <c r="J261" t="str">
        <f>INDEX(products!$C$1:$C$49,MATCH($D261,products!$A$1:$A$49,0))</f>
        <v>M</v>
      </c>
      <c r="K261" s="4">
        <f>INDEX(products!$D$1:$D$49,MATCH($D261,products!$A$1:$A$49,0))</f>
        <v>0.2</v>
      </c>
      <c r="L261" s="5">
        <f>INDEX(products!$E$1:$E$49,MATCH($D261,products!$A$1:$A$49,0))</f>
        <v>2.9849999999999999</v>
      </c>
      <c r="M261" s="5">
        <f t="shared" si="4"/>
        <v>5.97</v>
      </c>
      <c r="N261" t="str" cm="1">
        <f t="array" ref="N261">_xlfn.IFS(I261="Rob","Robusta",I261="Exc","Excelsa",I261="Ara","Arabica",I261="Lib","Liberica")</f>
        <v>Robusta</v>
      </c>
      <c r="O261" t="str" cm="1">
        <f t="array" ref="O261">_xlfn.SWITCH($J261,"M","Medium","L","Light","D","Dark")</f>
        <v>Medium</v>
      </c>
      <c r="P261" t="str">
        <f>_xlfn.XLOOKUP(Table1[[#This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IF(_xlfn.XLOOKUP(C262,customers!$A$1:$A$1001,customers!$C$1:$C$1001,,0)=0,"Not _Provided",_xlfn.XLOOKUP(C262,customers!$A$1:$A$1001,customers!$C$1:$C$1001,,0))</f>
        <v>ttaffarello78@sciencedaily.com</v>
      </c>
      <c r="H262" s="2" t="str">
        <f>_xlfn.XLOOKUP(C262,customers!$A$1:$A$1001,customers!$G$1:$G$1001,,0)</f>
        <v>United States</v>
      </c>
      <c r="I262" t="str">
        <f>INDEX(products!$B$1:$B$49,MATCH($D262,products!$A$1:$A$49,0))</f>
        <v>Rob</v>
      </c>
      <c r="J262" t="str">
        <f>INDEX(products!$C$1:$C$49,MATCH($D262,products!$A$1:$A$49,0))</f>
        <v>L</v>
      </c>
      <c r="K262" s="4">
        <f>INDEX(products!$D$1:$D$49,MATCH($D262,products!$A$1:$A$49,0))</f>
        <v>2.5</v>
      </c>
      <c r="L262" s="5">
        <f>INDEX(products!$E$1:$E$49,MATCH($D262,products!$A$1:$A$49,0))</f>
        <v>27.484999999999996</v>
      </c>
      <c r="M262" s="5">
        <f t="shared" si="4"/>
        <v>27.484999999999996</v>
      </c>
      <c r="N262" t="str" cm="1">
        <f t="array" ref="N262">_xlfn.IFS(I262="Rob","Robusta",I262="Exc","Excelsa",I262="Ara","Arabica",I262="Lib","Liberica")</f>
        <v>Robusta</v>
      </c>
      <c r="O262" t="str" cm="1">
        <f t="array" ref="O262">_xlfn.SWITCH($J262,"M","Medium","L","Light","D","Dark")</f>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IF(_xlfn.XLOOKUP(C263,customers!$A$1:$A$1001,customers!$C$1:$C$1001,,0)=0,"Not _Provided",_xlfn.XLOOKUP(C263,customers!$A$1:$A$1001,customers!$C$1:$C$1001,,0))</f>
        <v>mcanty79@jigsy.com</v>
      </c>
      <c r="H263" s="2" t="str">
        <f>_xlfn.XLOOKUP(C263,customers!$A$1:$A$1001,customers!$G$1:$G$1001,,0)</f>
        <v>United States</v>
      </c>
      <c r="I263" t="str">
        <f>INDEX(products!$B$1:$B$49,MATCH($D263,products!$A$1:$A$49,0))</f>
        <v>Rob</v>
      </c>
      <c r="J263" t="str">
        <f>INDEX(products!$C$1:$C$49,MATCH($D263,products!$A$1:$A$49,0))</f>
        <v>L</v>
      </c>
      <c r="K263" s="4">
        <f>INDEX(products!$D$1:$D$49,MATCH($D263,products!$A$1:$A$49,0))</f>
        <v>1</v>
      </c>
      <c r="L263" s="5">
        <f>INDEX(products!$E$1:$E$49,MATCH($D263,products!$A$1:$A$49,0))</f>
        <v>11.95</v>
      </c>
      <c r="M263" s="5">
        <f t="shared" si="4"/>
        <v>59.75</v>
      </c>
      <c r="N263" t="str" cm="1">
        <f t="array" ref="N263">_xlfn.IFS(I263="Rob","Robusta",I263="Exc","Excelsa",I263="Ara","Arabica",I263="Lib","Liberica")</f>
        <v>Robusta</v>
      </c>
      <c r="O263" t="str" cm="1">
        <f t="array" ref="O263">_xlfn.SWITCH($J263,"M","Medium","L","Light","D","Dark")</f>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IF(_xlfn.XLOOKUP(C264,customers!$A$1:$A$1001,customers!$C$1:$C$1001,,0)=0,"Not _Provided",_xlfn.XLOOKUP(C264,customers!$A$1:$A$1001,customers!$C$1:$C$1001,,0))</f>
        <v>jkopke7a@auda.org.au</v>
      </c>
      <c r="H264" s="2" t="str">
        <f>_xlfn.XLOOKUP(C264,customers!$A$1:$A$1001,customers!$G$1:$G$1001,,0)</f>
        <v>United States</v>
      </c>
      <c r="I264" t="str">
        <f>INDEX(products!$B$1:$B$49,MATCH($D264,products!$A$1:$A$49,0))</f>
        <v>Exc</v>
      </c>
      <c r="J264" t="str">
        <f>INDEX(products!$C$1:$C$49,MATCH($D264,products!$A$1:$A$49,0))</f>
        <v>M</v>
      </c>
      <c r="K264" s="4">
        <f>INDEX(products!$D$1:$D$49,MATCH($D264,products!$A$1:$A$49,0))</f>
        <v>1</v>
      </c>
      <c r="L264" s="5">
        <f>INDEX(products!$E$1:$E$49,MATCH($D264,products!$A$1:$A$49,0))</f>
        <v>13.75</v>
      </c>
      <c r="M264" s="5">
        <f t="shared" si="4"/>
        <v>41.25</v>
      </c>
      <c r="N264" t="str" cm="1">
        <f t="array" ref="N264">_xlfn.IFS(I264="Rob","Robusta",I264="Exc","Excelsa",I264="Ara","Arabica",I264="Lib","Liberica")</f>
        <v>Excelsa</v>
      </c>
      <c r="O264" t="str" cm="1">
        <f t="array" ref="O264">_xlfn.SWITCH($J264,"M","Medium","L","Light","D","Dark")</f>
        <v>Medium</v>
      </c>
      <c r="P264" t="str">
        <f>_xlfn.XLOOKUP(Table1[[#This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IF(_xlfn.XLOOKUP(C265,customers!$A$1:$A$1001,customers!$C$1:$C$1001,,0)=0,"Not _Provided",_xlfn.XLOOKUP(C265,customers!$A$1:$A$1001,customers!$C$1:$C$1001,,0))</f>
        <v>Not _Provided</v>
      </c>
      <c r="H265" s="2" t="str">
        <f>_xlfn.XLOOKUP(C265,customers!$A$1:$A$1001,customers!$G$1:$G$1001,,0)</f>
        <v>United States</v>
      </c>
      <c r="I265" t="str">
        <f>INDEX(products!$B$1:$B$49,MATCH($D265,products!$A$1:$A$49,0))</f>
        <v>Lib</v>
      </c>
      <c r="J265" t="str">
        <f>INDEX(products!$C$1:$C$49,MATCH($D265,products!$A$1:$A$49,0))</f>
        <v>M</v>
      </c>
      <c r="K265" s="4">
        <f>INDEX(products!$D$1:$D$49,MATCH($D265,products!$A$1:$A$49,0))</f>
        <v>2.5</v>
      </c>
      <c r="L265" s="5">
        <f>INDEX(products!$E$1:$E$49,MATCH($D265,products!$A$1:$A$49,0))</f>
        <v>33.464999999999996</v>
      </c>
      <c r="M265" s="5">
        <f t="shared" si="4"/>
        <v>133.85999999999999</v>
      </c>
      <c r="N265" t="str" cm="1">
        <f t="array" ref="N265">_xlfn.IFS(I265="Rob","Robusta",I265="Exc","Excelsa",I265="Ara","Arabica",I265="Lib","Liberica")</f>
        <v>Liberica</v>
      </c>
      <c r="O265" t="str" cm="1">
        <f t="array" ref="O265">_xlfn.SWITCH($J265,"M","Medium","L","Light","D","Dark")</f>
        <v>Medium</v>
      </c>
      <c r="P265" t="str">
        <f>_xlfn.XLOOKUP(Table1[[#This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IF(_xlfn.XLOOKUP(C266,customers!$A$1:$A$1001,customers!$C$1:$C$1001,,0)=0,"Not _Provided",_xlfn.XLOOKUP(C266,customers!$A$1:$A$1001,customers!$C$1:$C$1001,,0))</f>
        <v>Not _Provided</v>
      </c>
      <c r="H266" s="2" t="str">
        <f>_xlfn.XLOOKUP(C266,customers!$A$1:$A$1001,customers!$G$1:$G$1001,,0)</f>
        <v>Ireland</v>
      </c>
      <c r="I266" t="str">
        <f>INDEX(products!$B$1:$B$49,MATCH($D266,products!$A$1:$A$49,0))</f>
        <v>Rob</v>
      </c>
      <c r="J266" t="str">
        <f>INDEX(products!$C$1:$C$49,MATCH($D266,products!$A$1:$A$49,0))</f>
        <v>L</v>
      </c>
      <c r="K266" s="4">
        <f>INDEX(products!$D$1:$D$49,MATCH($D266,products!$A$1:$A$49,0))</f>
        <v>1</v>
      </c>
      <c r="L266" s="5">
        <f>INDEX(products!$E$1:$E$49,MATCH($D266,products!$A$1:$A$49,0))</f>
        <v>11.95</v>
      </c>
      <c r="M266" s="5">
        <f t="shared" si="4"/>
        <v>59.75</v>
      </c>
      <c r="N266" t="str" cm="1">
        <f t="array" ref="N266">_xlfn.IFS(I266="Rob","Robusta",I266="Exc","Excelsa",I266="Ara","Arabica",I266="Lib","Liberica")</f>
        <v>Robusta</v>
      </c>
      <c r="O266" t="str" cm="1">
        <f t="array" ref="O266">_xlfn.SWITCH($J266,"M","Medium","L","Light","D","Dark")</f>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IF(_xlfn.XLOOKUP(C267,customers!$A$1:$A$1001,customers!$C$1:$C$1001,,0)=0,"Not _Provided",_xlfn.XLOOKUP(C267,customers!$A$1:$A$1001,customers!$C$1:$C$1001,,0))</f>
        <v>vhellmore7d@bbc.co.uk</v>
      </c>
      <c r="H267" s="2" t="str">
        <f>_xlfn.XLOOKUP(C267,customers!$A$1:$A$1001,customers!$G$1:$G$1001,,0)</f>
        <v>United States</v>
      </c>
      <c r="I267" t="str">
        <f>INDEX(products!$B$1:$B$49,MATCH($D267,products!$A$1:$A$49,0))</f>
        <v>Ara</v>
      </c>
      <c r="J267" t="str">
        <f>INDEX(products!$C$1:$C$49,MATCH($D267,products!$A$1:$A$49,0))</f>
        <v>D</v>
      </c>
      <c r="K267" s="4">
        <f>INDEX(products!$D$1:$D$49,MATCH($D267,products!$A$1:$A$49,0))</f>
        <v>0.5</v>
      </c>
      <c r="L267" s="5">
        <f>INDEX(products!$E$1:$E$49,MATCH($D267,products!$A$1:$A$49,0))</f>
        <v>5.97</v>
      </c>
      <c r="M267" s="5">
        <f t="shared" si="4"/>
        <v>5.97</v>
      </c>
      <c r="N267" t="str" cm="1">
        <f t="array" ref="N267">_xlfn.IFS(I267="Rob","Robusta",I267="Exc","Excelsa",I267="Ara","Arabica",I267="Lib","Liberica")</f>
        <v>Arabica</v>
      </c>
      <c r="O267" t="str" cm="1">
        <f t="array" ref="O267">_xlfn.SWITCH($J267,"M","Medium","L","Light","D","Dark")</f>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IF(_xlfn.XLOOKUP(C268,customers!$A$1:$A$1001,customers!$C$1:$C$1001,,0)=0,"Not _Provided",_xlfn.XLOOKUP(C268,customers!$A$1:$A$1001,customers!$C$1:$C$1001,,0))</f>
        <v>mseawright7e@nbcnews.com</v>
      </c>
      <c r="H268" s="2" t="str">
        <f>_xlfn.XLOOKUP(C268,customers!$A$1:$A$1001,customers!$G$1:$G$1001,,0)</f>
        <v>United Kingdom</v>
      </c>
      <c r="I268" t="str">
        <f>INDEX(products!$B$1:$B$49,MATCH($D268,products!$A$1:$A$49,0))</f>
        <v>Exc</v>
      </c>
      <c r="J268" t="str">
        <f>INDEX(products!$C$1:$C$49,MATCH($D268,products!$A$1:$A$49,0))</f>
        <v>D</v>
      </c>
      <c r="K268" s="4">
        <f>INDEX(products!$D$1:$D$49,MATCH($D268,products!$A$1:$A$49,0))</f>
        <v>1</v>
      </c>
      <c r="L268" s="5">
        <f>INDEX(products!$E$1:$E$49,MATCH($D268,products!$A$1:$A$49,0))</f>
        <v>12.15</v>
      </c>
      <c r="M268" s="5">
        <f t="shared" si="4"/>
        <v>24.3</v>
      </c>
      <c r="N268" t="str" cm="1">
        <f t="array" ref="N268">_xlfn.IFS(I268="Rob","Robusta",I268="Exc","Excelsa",I268="Ara","Arabica",I268="Lib","Liberica")</f>
        <v>Excelsa</v>
      </c>
      <c r="O268" t="str" cm="1">
        <f t="array" ref="O268">_xlfn.SWITCH($J268,"M","Medium","L","Light","D","Dark")</f>
        <v>Dark</v>
      </c>
      <c r="P268" t="str">
        <f>_xlfn.XLOOKUP(Table1[[#This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IF(_xlfn.XLOOKUP(C269,customers!$A$1:$A$1001,customers!$C$1:$C$1001,,0)=0,"Not _Provided",_xlfn.XLOOKUP(C269,customers!$A$1:$A$1001,customers!$C$1:$C$1001,,0))</f>
        <v>snortheast7f@mashable.com</v>
      </c>
      <c r="H269" s="2" t="str">
        <f>_xlfn.XLOOKUP(C269,customers!$A$1:$A$1001,customers!$G$1:$G$1001,,0)</f>
        <v>United States</v>
      </c>
      <c r="I269" t="str">
        <f>INDEX(products!$B$1:$B$49,MATCH($D269,products!$A$1:$A$49,0))</f>
        <v>Exc</v>
      </c>
      <c r="J269" t="str">
        <f>INDEX(products!$C$1:$C$49,MATCH($D269,products!$A$1:$A$49,0))</f>
        <v>D</v>
      </c>
      <c r="K269" s="4">
        <f>INDEX(products!$D$1:$D$49,MATCH($D269,products!$A$1:$A$49,0))</f>
        <v>0.2</v>
      </c>
      <c r="L269" s="5">
        <f>INDEX(products!$E$1:$E$49,MATCH($D269,products!$A$1:$A$49,0))</f>
        <v>3.645</v>
      </c>
      <c r="M269" s="5">
        <f t="shared" si="4"/>
        <v>21.87</v>
      </c>
      <c r="N269" t="str" cm="1">
        <f t="array" ref="N269">_xlfn.IFS(I269="Rob","Robusta",I269="Exc","Excelsa",I269="Ara","Arabica",I269="Lib","Liberica")</f>
        <v>Excelsa</v>
      </c>
      <c r="O269" t="str" cm="1">
        <f t="array" ref="O269">_xlfn.SWITCH($J269,"M","Medium","L","Light","D","Dark")</f>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IF(_xlfn.XLOOKUP(C270,customers!$A$1:$A$1001,customers!$C$1:$C$1001,,0)=0,"Not _Provided",_xlfn.XLOOKUP(C270,customers!$A$1:$A$1001,customers!$C$1:$C$1001,,0))</f>
        <v>aattwater5u@wikia.com</v>
      </c>
      <c r="H270" s="2" t="str">
        <f>_xlfn.XLOOKUP(C270,customers!$A$1:$A$1001,customers!$G$1:$G$1001,,0)</f>
        <v>United States</v>
      </c>
      <c r="I270" t="str">
        <f>INDEX(products!$B$1:$B$49,MATCH($D270,products!$A$1:$A$49,0))</f>
        <v>Ara</v>
      </c>
      <c r="J270" t="str">
        <f>INDEX(products!$C$1:$C$49,MATCH($D270,products!$A$1:$A$49,0))</f>
        <v>D</v>
      </c>
      <c r="K270" s="4">
        <f>INDEX(products!$D$1:$D$49,MATCH($D270,products!$A$1:$A$49,0))</f>
        <v>1</v>
      </c>
      <c r="L270" s="5">
        <f>INDEX(products!$E$1:$E$49,MATCH($D270,products!$A$1:$A$49,0))</f>
        <v>9.9499999999999993</v>
      </c>
      <c r="M270" s="5">
        <f t="shared" si="4"/>
        <v>19.899999999999999</v>
      </c>
      <c r="N270" t="str" cm="1">
        <f t="array" ref="N270">_xlfn.IFS(I270="Rob","Robusta",I270="Exc","Excelsa",I270="Ara","Arabica",I270="Lib","Liberica")</f>
        <v>Arabica</v>
      </c>
      <c r="O270" t="str" cm="1">
        <f t="array" ref="O270">_xlfn.SWITCH($J270,"M","Medium","L","Light","D","Dark")</f>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IF(_xlfn.XLOOKUP(C271,customers!$A$1:$A$1001,customers!$C$1:$C$1001,,0)=0,"Not _Provided",_xlfn.XLOOKUP(C271,customers!$A$1:$A$1001,customers!$C$1:$C$1001,,0))</f>
        <v>mfearon7h@reverbnation.com</v>
      </c>
      <c r="H271" s="2" t="str">
        <f>_xlfn.XLOOKUP(C271,customers!$A$1:$A$1001,customers!$G$1:$G$1001,,0)</f>
        <v>United States</v>
      </c>
      <c r="I271" t="str">
        <f>INDEX(products!$B$1:$B$49,MATCH($D271,products!$A$1:$A$49,0))</f>
        <v>Ara</v>
      </c>
      <c r="J271" t="str">
        <f>INDEX(products!$C$1:$C$49,MATCH($D271,products!$A$1:$A$49,0))</f>
        <v>D</v>
      </c>
      <c r="K271" s="4">
        <f>INDEX(products!$D$1:$D$49,MATCH($D271,products!$A$1:$A$49,0))</f>
        <v>0.2</v>
      </c>
      <c r="L271" s="5">
        <f>INDEX(products!$E$1:$E$49,MATCH($D271,products!$A$1:$A$49,0))</f>
        <v>2.9849999999999999</v>
      </c>
      <c r="M271" s="5">
        <f t="shared" si="4"/>
        <v>5.97</v>
      </c>
      <c r="N271" t="str" cm="1">
        <f t="array" ref="N271">_xlfn.IFS(I271="Rob","Robusta",I271="Exc","Excelsa",I271="Ara","Arabica",I271="Lib","Liberica")</f>
        <v>Arabica</v>
      </c>
      <c r="O271" t="str" cm="1">
        <f t="array" ref="O271">_xlfn.SWITCH($J271,"M","Medium","L","Light","D","Dark")</f>
        <v>Dark</v>
      </c>
      <c r="P271" t="str">
        <f>_xlfn.XLOOKUP(Table1[[#This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IF(_xlfn.XLOOKUP(C272,customers!$A$1:$A$1001,customers!$C$1:$C$1001,,0)=0,"Not _Provided",_xlfn.XLOOKUP(C272,customers!$A$1:$A$1001,customers!$C$1:$C$1001,,0))</f>
        <v>Not _Provided</v>
      </c>
      <c r="H272" s="2" t="str">
        <f>_xlfn.XLOOKUP(C272,customers!$A$1:$A$1001,customers!$G$1:$G$1001,,0)</f>
        <v>Ireland</v>
      </c>
      <c r="I272" t="str">
        <f>INDEX(products!$B$1:$B$49,MATCH($D272,products!$A$1:$A$49,0))</f>
        <v>Exc</v>
      </c>
      <c r="J272" t="str">
        <f>INDEX(products!$C$1:$C$49,MATCH($D272,products!$A$1:$A$49,0))</f>
        <v>D</v>
      </c>
      <c r="K272" s="4">
        <f>INDEX(products!$D$1:$D$49,MATCH($D272,products!$A$1:$A$49,0))</f>
        <v>0.5</v>
      </c>
      <c r="L272" s="5">
        <f>INDEX(products!$E$1:$E$49,MATCH($D272,products!$A$1:$A$49,0))</f>
        <v>7.29</v>
      </c>
      <c r="M272" s="5">
        <f t="shared" si="4"/>
        <v>7.29</v>
      </c>
      <c r="N272" t="str" cm="1">
        <f t="array" ref="N272">_xlfn.IFS(I272="Rob","Robusta",I272="Exc","Excelsa",I272="Ara","Arabica",I272="Lib","Liberica")</f>
        <v>Excelsa</v>
      </c>
      <c r="O272" t="str" cm="1">
        <f t="array" ref="O272">_xlfn.SWITCH($J272,"M","Medium","L","Light","D","Dark")</f>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IF(_xlfn.XLOOKUP(C273,customers!$A$1:$A$1001,customers!$C$1:$C$1001,,0)=0,"Not _Provided",_xlfn.XLOOKUP(C273,customers!$A$1:$A$1001,customers!$C$1:$C$1001,,0))</f>
        <v>jsisneros7j@a8.net</v>
      </c>
      <c r="H273" s="2" t="str">
        <f>_xlfn.XLOOKUP(C273,customers!$A$1:$A$1001,customers!$G$1:$G$1001,,0)</f>
        <v>United States</v>
      </c>
      <c r="I273" t="str">
        <f>INDEX(products!$B$1:$B$49,MATCH($D273,products!$A$1:$A$49,0))</f>
        <v>Ara</v>
      </c>
      <c r="J273" t="str">
        <f>INDEX(products!$C$1:$C$49,MATCH($D273,products!$A$1:$A$49,0))</f>
        <v>D</v>
      </c>
      <c r="K273" s="4">
        <f>INDEX(products!$D$1:$D$49,MATCH($D273,products!$A$1:$A$49,0))</f>
        <v>0.2</v>
      </c>
      <c r="L273" s="5">
        <f>INDEX(products!$E$1:$E$49,MATCH($D273,products!$A$1:$A$49,0))</f>
        <v>2.9849999999999999</v>
      </c>
      <c r="M273" s="5">
        <f t="shared" si="4"/>
        <v>11.94</v>
      </c>
      <c r="N273" t="str" cm="1">
        <f t="array" ref="N273">_xlfn.IFS(I273="Rob","Robusta",I273="Exc","Excelsa",I273="Ara","Arabica",I273="Lib","Liberica")</f>
        <v>Arabica</v>
      </c>
      <c r="O273" t="str" cm="1">
        <f t="array" ref="O273">_xlfn.SWITCH($J273,"M","Medium","L","Light","D","Dark")</f>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IF(_xlfn.XLOOKUP(C274,customers!$A$1:$A$1001,customers!$C$1:$C$1001,,0)=0,"Not _Provided",_xlfn.XLOOKUP(C274,customers!$A$1:$A$1001,customers!$C$1:$C$1001,,0))</f>
        <v>zcarlson7k@bigcartel.com</v>
      </c>
      <c r="H274" s="2" t="str">
        <f>_xlfn.XLOOKUP(C274,customers!$A$1:$A$1001,customers!$G$1:$G$1001,,0)</f>
        <v>Ireland</v>
      </c>
      <c r="I274" t="str">
        <f>INDEX(products!$B$1:$B$49,MATCH($D274,products!$A$1:$A$49,0))</f>
        <v>Rob</v>
      </c>
      <c r="J274" t="str">
        <f>INDEX(products!$C$1:$C$49,MATCH($D274,products!$A$1:$A$49,0))</f>
        <v>L</v>
      </c>
      <c r="K274" s="4">
        <f>INDEX(products!$D$1:$D$49,MATCH($D274,products!$A$1:$A$49,0))</f>
        <v>1</v>
      </c>
      <c r="L274" s="5">
        <f>INDEX(products!$E$1:$E$49,MATCH($D274,products!$A$1:$A$49,0))</f>
        <v>11.95</v>
      </c>
      <c r="M274" s="5">
        <f t="shared" si="4"/>
        <v>71.699999999999989</v>
      </c>
      <c r="N274" t="str" cm="1">
        <f t="array" ref="N274">_xlfn.IFS(I274="Rob","Robusta",I274="Exc","Excelsa",I274="Ara","Arabica",I274="Lib","Liberica")</f>
        <v>Robusta</v>
      </c>
      <c r="O274" t="str" cm="1">
        <f t="array" ref="O274">_xlfn.SWITCH($J274,"M","Medium","L","Light","D","Dark")</f>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IF(_xlfn.XLOOKUP(C275,customers!$A$1:$A$1001,customers!$C$1:$C$1001,,0)=0,"Not _Provided",_xlfn.XLOOKUP(C275,customers!$A$1:$A$1001,customers!$C$1:$C$1001,,0))</f>
        <v>wmaddox7l@timesonline.co.uk</v>
      </c>
      <c r="H275" s="2" t="str">
        <f>_xlfn.XLOOKUP(C275,customers!$A$1:$A$1001,customers!$G$1:$G$1001,,0)</f>
        <v>United States</v>
      </c>
      <c r="I275" t="str">
        <f>INDEX(products!$B$1:$B$49,MATCH($D275,products!$A$1:$A$49,0))</f>
        <v>Ara</v>
      </c>
      <c r="J275" t="str">
        <f>INDEX(products!$C$1:$C$49,MATCH($D275,products!$A$1:$A$49,0))</f>
        <v>L</v>
      </c>
      <c r="K275" s="4">
        <f>INDEX(products!$D$1:$D$49,MATCH($D275,products!$A$1:$A$49,0))</f>
        <v>0.2</v>
      </c>
      <c r="L275" s="5">
        <f>INDEX(products!$E$1:$E$49,MATCH($D275,products!$A$1:$A$49,0))</f>
        <v>3.8849999999999998</v>
      </c>
      <c r="M275" s="5">
        <f t="shared" si="4"/>
        <v>7.77</v>
      </c>
      <c r="N275" t="str" cm="1">
        <f t="array" ref="N275">_xlfn.IFS(I275="Rob","Robusta",I275="Exc","Excelsa",I275="Ara","Arabica",I275="Lib","Liberica")</f>
        <v>Arabica</v>
      </c>
      <c r="O275" t="str" cm="1">
        <f t="array" ref="O275">_xlfn.SWITCH($J275,"M","Medium","L","Light","D","Dark")</f>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IF(_xlfn.XLOOKUP(C276,customers!$A$1:$A$1001,customers!$C$1:$C$1001,,0)=0,"Not _Provided",_xlfn.XLOOKUP(C276,customers!$A$1:$A$1001,customers!$C$1:$C$1001,,0))</f>
        <v>dhedlestone7m@craigslist.org</v>
      </c>
      <c r="H276" s="2" t="str">
        <f>_xlfn.XLOOKUP(C276,customers!$A$1:$A$1001,customers!$G$1:$G$1001,,0)</f>
        <v>United States</v>
      </c>
      <c r="I276" t="str">
        <f>INDEX(products!$B$1:$B$49,MATCH($D276,products!$A$1:$A$49,0))</f>
        <v>Ara</v>
      </c>
      <c r="J276" t="str">
        <f>INDEX(products!$C$1:$C$49,MATCH($D276,products!$A$1:$A$49,0))</f>
        <v>M</v>
      </c>
      <c r="K276" s="4">
        <f>INDEX(products!$D$1:$D$49,MATCH($D276,products!$A$1:$A$49,0))</f>
        <v>2.5</v>
      </c>
      <c r="L276" s="5">
        <f>INDEX(products!$E$1:$E$49,MATCH($D276,products!$A$1:$A$49,0))</f>
        <v>25.874999999999996</v>
      </c>
      <c r="M276" s="5">
        <f t="shared" si="4"/>
        <v>25.874999999999996</v>
      </c>
      <c r="N276" t="str" cm="1">
        <f t="array" ref="N276">_xlfn.IFS(I276="Rob","Robusta",I276="Exc","Excelsa",I276="Ara","Arabica",I276="Lib","Liberica")</f>
        <v>Arabica</v>
      </c>
      <c r="O276" t="str" cm="1">
        <f t="array" ref="O276">_xlfn.SWITCH($J276,"M","Medium","L","Light","D","Dark")</f>
        <v>Medium</v>
      </c>
      <c r="P276" t="str">
        <f>_xlfn.XLOOKUP(Table1[[#This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IF(_xlfn.XLOOKUP(C277,customers!$A$1:$A$1001,customers!$C$1:$C$1001,,0)=0,"Not _Provided",_xlfn.XLOOKUP(C277,customers!$A$1:$A$1001,customers!$C$1:$C$1001,,0))</f>
        <v>tcrowthe7n@europa.eu</v>
      </c>
      <c r="H277" s="2" t="str">
        <f>_xlfn.XLOOKUP(C277,customers!$A$1:$A$1001,customers!$G$1:$G$1001,,0)</f>
        <v>United States</v>
      </c>
      <c r="I277" t="str">
        <f>INDEX(products!$B$1:$B$49,MATCH($D277,products!$A$1:$A$49,0))</f>
        <v>Exc</v>
      </c>
      <c r="J277" t="str">
        <f>INDEX(products!$C$1:$C$49,MATCH($D277,products!$A$1:$A$49,0))</f>
        <v>L</v>
      </c>
      <c r="K277" s="4">
        <f>INDEX(products!$D$1:$D$49,MATCH($D277,products!$A$1:$A$49,0))</f>
        <v>2.5</v>
      </c>
      <c r="L277" s="5">
        <f>INDEX(products!$E$1:$E$49,MATCH($D277,products!$A$1:$A$49,0))</f>
        <v>34.154999999999994</v>
      </c>
      <c r="M277" s="5">
        <f t="shared" si="4"/>
        <v>204.92999999999995</v>
      </c>
      <c r="N277" t="str" cm="1">
        <f t="array" ref="N277">_xlfn.IFS(I277="Rob","Robusta",I277="Exc","Excelsa",I277="Ara","Arabica",I277="Lib","Liberica")</f>
        <v>Excelsa</v>
      </c>
      <c r="O277" t="str" cm="1">
        <f t="array" ref="O277">_xlfn.SWITCH($J277,"M","Medium","L","Light","D","Dark")</f>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IF(_xlfn.XLOOKUP(C278,customers!$A$1:$A$1001,customers!$C$1:$C$1001,,0)=0,"Not _Provided",_xlfn.XLOOKUP(C278,customers!$A$1:$A$1001,customers!$C$1:$C$1001,,0))</f>
        <v>dbury7o@tinyurl.com</v>
      </c>
      <c r="H278" s="2" t="str">
        <f>_xlfn.XLOOKUP(C278,customers!$A$1:$A$1001,customers!$G$1:$G$1001,,0)</f>
        <v>Ireland</v>
      </c>
      <c r="I278" t="str">
        <f>INDEX(products!$B$1:$B$49,MATCH($D278,products!$A$1:$A$49,0))</f>
        <v>Rob</v>
      </c>
      <c r="J278" t="str">
        <f>INDEX(products!$C$1:$C$49,MATCH($D278,products!$A$1:$A$49,0))</f>
        <v>L</v>
      </c>
      <c r="K278" s="4">
        <f>INDEX(products!$D$1:$D$49,MATCH($D278,products!$A$1:$A$49,0))</f>
        <v>2.5</v>
      </c>
      <c r="L278" s="5">
        <f>INDEX(products!$E$1:$E$49,MATCH($D278,products!$A$1:$A$49,0))</f>
        <v>27.484999999999996</v>
      </c>
      <c r="M278" s="5">
        <f t="shared" si="4"/>
        <v>109.93999999999998</v>
      </c>
      <c r="N278" t="str" cm="1">
        <f t="array" ref="N278">_xlfn.IFS(I278="Rob","Robusta",I278="Exc","Excelsa",I278="Ara","Arabica",I278="Lib","Liberica")</f>
        <v>Robusta</v>
      </c>
      <c r="O278" t="str" cm="1">
        <f t="array" ref="O278">_xlfn.SWITCH($J278,"M","Medium","L","Light","D","Dark")</f>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IF(_xlfn.XLOOKUP(C279,customers!$A$1:$A$1001,customers!$C$1:$C$1001,,0)=0,"Not _Provided",_xlfn.XLOOKUP(C279,customers!$A$1:$A$1001,customers!$C$1:$C$1001,,0))</f>
        <v>gbroadbear7p@omniture.com</v>
      </c>
      <c r="H279" s="2" t="str">
        <f>_xlfn.XLOOKUP(C279,customers!$A$1:$A$1001,customers!$G$1:$G$1001,,0)</f>
        <v>United States</v>
      </c>
      <c r="I279" t="str">
        <f>INDEX(products!$B$1:$B$49,MATCH($D279,products!$A$1:$A$49,0))</f>
        <v>Exc</v>
      </c>
      <c r="J279" t="str">
        <f>INDEX(products!$C$1:$C$49,MATCH($D279,products!$A$1:$A$49,0))</f>
        <v>L</v>
      </c>
      <c r="K279" s="4">
        <f>INDEX(products!$D$1:$D$49,MATCH($D279,products!$A$1:$A$49,0))</f>
        <v>1</v>
      </c>
      <c r="L279" s="5">
        <f>INDEX(products!$E$1:$E$49,MATCH($D279,products!$A$1:$A$49,0))</f>
        <v>14.85</v>
      </c>
      <c r="M279" s="5">
        <f t="shared" si="4"/>
        <v>89.1</v>
      </c>
      <c r="N279" t="str" cm="1">
        <f t="array" ref="N279">_xlfn.IFS(I279="Rob","Robusta",I279="Exc","Excelsa",I279="Ara","Arabica",I279="Lib","Liberica")</f>
        <v>Excelsa</v>
      </c>
      <c r="O279" t="str" cm="1">
        <f t="array" ref="O279">_xlfn.SWITCH($J279,"M","Medium","L","Light","D","Dark")</f>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IF(_xlfn.XLOOKUP(C280,customers!$A$1:$A$1001,customers!$C$1:$C$1001,,0)=0,"Not _Provided",_xlfn.XLOOKUP(C280,customers!$A$1:$A$1001,customers!$C$1:$C$1001,,0))</f>
        <v>epalfrey7q@devhub.com</v>
      </c>
      <c r="H280" s="2" t="str">
        <f>_xlfn.XLOOKUP(C280,customers!$A$1:$A$1001,customers!$G$1:$G$1001,,0)</f>
        <v>United States</v>
      </c>
      <c r="I280" t="str">
        <f>INDEX(products!$B$1:$B$49,MATCH($D280,products!$A$1:$A$49,0))</f>
        <v>Ara</v>
      </c>
      <c r="J280" t="str">
        <f>INDEX(products!$C$1:$C$49,MATCH($D280,products!$A$1:$A$49,0))</f>
        <v>L</v>
      </c>
      <c r="K280" s="4">
        <f>INDEX(products!$D$1:$D$49,MATCH($D280,products!$A$1:$A$49,0))</f>
        <v>0.2</v>
      </c>
      <c r="L280" s="5">
        <f>INDEX(products!$E$1:$E$49,MATCH($D280,products!$A$1:$A$49,0))</f>
        <v>3.8849999999999998</v>
      </c>
      <c r="M280" s="5">
        <f t="shared" si="4"/>
        <v>7.77</v>
      </c>
      <c r="N280" t="str" cm="1">
        <f t="array" ref="N280">_xlfn.IFS(I280="Rob","Robusta",I280="Exc","Excelsa",I280="Ara","Arabica",I280="Lib","Liberica")</f>
        <v>Arabica</v>
      </c>
      <c r="O280" t="str" cm="1">
        <f t="array" ref="O280">_xlfn.SWITCH($J280,"M","Medium","L","Light","D","Dark")</f>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IF(_xlfn.XLOOKUP(C281,customers!$A$1:$A$1001,customers!$C$1:$C$1001,,0)=0,"Not _Provided",_xlfn.XLOOKUP(C281,customers!$A$1:$A$1001,customers!$C$1:$C$1001,,0))</f>
        <v>pmetrick7r@rakuten.co.jp</v>
      </c>
      <c r="H281" s="2" t="str">
        <f>_xlfn.XLOOKUP(C281,customers!$A$1:$A$1001,customers!$G$1:$G$1001,,0)</f>
        <v>United States</v>
      </c>
      <c r="I281" t="str">
        <f>INDEX(products!$B$1:$B$49,MATCH($D281,products!$A$1:$A$49,0))</f>
        <v>Lib</v>
      </c>
      <c r="J281" t="str">
        <f>INDEX(products!$C$1:$C$49,MATCH($D281,products!$A$1:$A$49,0))</f>
        <v>M</v>
      </c>
      <c r="K281" s="4">
        <f>INDEX(products!$D$1:$D$49,MATCH($D281,products!$A$1:$A$49,0))</f>
        <v>2.5</v>
      </c>
      <c r="L281" s="5">
        <f>INDEX(products!$E$1:$E$49,MATCH($D281,products!$A$1:$A$49,0))</f>
        <v>33.464999999999996</v>
      </c>
      <c r="M281" s="5">
        <f t="shared" si="4"/>
        <v>33.464999999999996</v>
      </c>
      <c r="N281" t="str" cm="1">
        <f t="array" ref="N281">_xlfn.IFS(I281="Rob","Robusta",I281="Exc","Excelsa",I281="Ara","Arabica",I281="Lib","Liberica")</f>
        <v>Liberica</v>
      </c>
      <c r="O281" t="str" cm="1">
        <f t="array" ref="O281">_xlfn.SWITCH($J281,"M","Medium","L","Light","D","Dark")</f>
        <v>Medium</v>
      </c>
      <c r="P281" t="str">
        <f>_xlfn.XLOOKUP(Table1[[#This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IF(_xlfn.XLOOKUP(C282,customers!$A$1:$A$1001,customers!$C$1:$C$1001,,0)=0,"Not _Provided",_xlfn.XLOOKUP(C282,customers!$A$1:$A$1001,customers!$C$1:$C$1001,,0))</f>
        <v>Not _Provided</v>
      </c>
      <c r="H282" s="2" t="str">
        <f>_xlfn.XLOOKUP(C282,customers!$A$1:$A$1001,customers!$G$1:$G$1001,,0)</f>
        <v>United States</v>
      </c>
      <c r="I282" t="str">
        <f>INDEX(products!$B$1:$B$49,MATCH($D282,products!$A$1:$A$49,0))</f>
        <v>Exc</v>
      </c>
      <c r="J282" t="str">
        <f>INDEX(products!$C$1:$C$49,MATCH($D282,products!$A$1:$A$49,0))</f>
        <v>M</v>
      </c>
      <c r="K282" s="4">
        <f>INDEX(products!$D$1:$D$49,MATCH($D282,products!$A$1:$A$49,0))</f>
        <v>0.5</v>
      </c>
      <c r="L282" s="5">
        <f>INDEX(products!$E$1:$E$49,MATCH($D282,products!$A$1:$A$49,0))</f>
        <v>8.25</v>
      </c>
      <c r="M282" s="5">
        <f t="shared" si="4"/>
        <v>41.25</v>
      </c>
      <c r="N282" t="str" cm="1">
        <f t="array" ref="N282">_xlfn.IFS(I282="Rob","Robusta",I282="Exc","Excelsa",I282="Ara","Arabica",I282="Lib","Liberica")</f>
        <v>Excelsa</v>
      </c>
      <c r="O282" t="str" cm="1">
        <f t="array" ref="O282">_xlfn.SWITCH($J282,"M","Medium","L","Light","D","Dark")</f>
        <v>Medium</v>
      </c>
      <c r="P282" t="str">
        <f>_xlfn.XLOOKUP(Table1[[#This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IF(_xlfn.XLOOKUP(C283,customers!$A$1:$A$1001,customers!$C$1:$C$1001,,0)=0,"Not _Provided",_xlfn.XLOOKUP(C283,customers!$A$1:$A$1001,customers!$C$1:$C$1001,,0))</f>
        <v>kkarby7t@sbwire.com</v>
      </c>
      <c r="H283" s="2" t="str">
        <f>_xlfn.XLOOKUP(C283,customers!$A$1:$A$1001,customers!$G$1:$G$1001,,0)</f>
        <v>United States</v>
      </c>
      <c r="I283" t="str">
        <f>INDEX(products!$B$1:$B$49,MATCH($D283,products!$A$1:$A$49,0))</f>
        <v>Exc</v>
      </c>
      <c r="J283" t="str">
        <f>INDEX(products!$C$1:$C$49,MATCH($D283,products!$A$1:$A$49,0))</f>
        <v>L</v>
      </c>
      <c r="K283" s="4">
        <f>INDEX(products!$D$1:$D$49,MATCH($D283,products!$A$1:$A$49,0))</f>
        <v>1</v>
      </c>
      <c r="L283" s="5">
        <f>INDEX(products!$E$1:$E$49,MATCH($D283,products!$A$1:$A$49,0))</f>
        <v>14.85</v>
      </c>
      <c r="M283" s="5">
        <f t="shared" si="4"/>
        <v>59.4</v>
      </c>
      <c r="N283" t="str" cm="1">
        <f t="array" ref="N283">_xlfn.IFS(I283="Rob","Robusta",I283="Exc","Excelsa",I283="Ara","Arabica",I283="Lib","Liberica")</f>
        <v>Excelsa</v>
      </c>
      <c r="O283" t="str" cm="1">
        <f t="array" ref="O283">_xlfn.SWITCH($J283,"M","Medium","L","Light","D","Dark")</f>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IF(_xlfn.XLOOKUP(C284,customers!$A$1:$A$1001,customers!$C$1:$C$1001,,0)=0,"Not _Provided",_xlfn.XLOOKUP(C284,customers!$A$1:$A$1001,customers!$C$1:$C$1001,,0))</f>
        <v>fcrumpe7u@ftc.gov</v>
      </c>
      <c r="H284" s="2" t="str">
        <f>_xlfn.XLOOKUP(C284,customers!$A$1:$A$1001,customers!$G$1:$G$1001,,0)</f>
        <v>United Kingdom</v>
      </c>
      <c r="I284" t="str">
        <f>INDEX(products!$B$1:$B$49,MATCH($D284,products!$A$1:$A$49,0))</f>
        <v>Ara</v>
      </c>
      <c r="J284" t="str">
        <f>INDEX(products!$C$1:$C$49,MATCH($D284,products!$A$1:$A$49,0))</f>
        <v>L</v>
      </c>
      <c r="K284" s="4">
        <f>INDEX(products!$D$1:$D$49,MATCH($D284,products!$A$1:$A$49,0))</f>
        <v>0.5</v>
      </c>
      <c r="L284" s="5">
        <f>INDEX(products!$E$1:$E$49,MATCH($D284,products!$A$1:$A$49,0))</f>
        <v>7.77</v>
      </c>
      <c r="M284" s="5">
        <f t="shared" si="4"/>
        <v>7.77</v>
      </c>
      <c r="N284" t="str" cm="1">
        <f t="array" ref="N284">_xlfn.IFS(I284="Rob","Robusta",I284="Exc","Excelsa",I284="Ara","Arabica",I284="Lib","Liberica")</f>
        <v>Arabica</v>
      </c>
      <c r="O284" t="str" cm="1">
        <f t="array" ref="O284">_xlfn.SWITCH($J284,"M","Medium","L","Light","D","Dark")</f>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IF(_xlfn.XLOOKUP(C285,customers!$A$1:$A$1001,customers!$C$1:$C$1001,,0)=0,"Not _Provided",_xlfn.XLOOKUP(C285,customers!$A$1:$A$1001,customers!$C$1:$C$1001,,0))</f>
        <v>achatto7v@sakura.ne.jp</v>
      </c>
      <c r="H285" s="2" t="str">
        <f>_xlfn.XLOOKUP(C285,customers!$A$1:$A$1001,customers!$G$1:$G$1001,,0)</f>
        <v>United Kingdom</v>
      </c>
      <c r="I285" t="str">
        <f>INDEX(products!$B$1:$B$49,MATCH($D285,products!$A$1:$A$49,0))</f>
        <v>Rob</v>
      </c>
      <c r="J285" t="str">
        <f>INDEX(products!$C$1:$C$49,MATCH($D285,products!$A$1:$A$49,0))</f>
        <v>D</v>
      </c>
      <c r="K285" s="4">
        <f>INDEX(products!$D$1:$D$49,MATCH($D285,products!$A$1:$A$49,0))</f>
        <v>0.5</v>
      </c>
      <c r="L285" s="5">
        <f>INDEX(products!$E$1:$E$49,MATCH($D285,products!$A$1:$A$49,0))</f>
        <v>5.3699999999999992</v>
      </c>
      <c r="M285" s="5">
        <f t="shared" si="4"/>
        <v>5.3699999999999992</v>
      </c>
      <c r="N285" t="str" cm="1">
        <f t="array" ref="N285">_xlfn.IFS(I285="Rob","Robusta",I285="Exc","Excelsa",I285="Ara","Arabica",I285="Lib","Liberica")</f>
        <v>Robusta</v>
      </c>
      <c r="O285" t="str" cm="1">
        <f t="array" ref="O285">_xlfn.SWITCH($J285,"M","Medium","L","Light","D","Dark")</f>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IF(_xlfn.XLOOKUP(C286,customers!$A$1:$A$1001,customers!$C$1:$C$1001,,0)=0,"Not _Provided",_xlfn.XLOOKUP(C286,customers!$A$1:$A$1001,customers!$C$1:$C$1001,,0))</f>
        <v>Not _Provided</v>
      </c>
      <c r="H286" s="2" t="str">
        <f>_xlfn.XLOOKUP(C286,customers!$A$1:$A$1001,customers!$G$1:$G$1001,,0)</f>
        <v>United States</v>
      </c>
      <c r="I286" t="str">
        <f>INDEX(products!$B$1:$B$49,MATCH($D286,products!$A$1:$A$49,0))</f>
        <v>Exc</v>
      </c>
      <c r="J286" t="str">
        <f>INDEX(products!$C$1:$C$49,MATCH($D286,products!$A$1:$A$49,0))</f>
        <v>M</v>
      </c>
      <c r="K286" s="4">
        <f>INDEX(products!$D$1:$D$49,MATCH($D286,products!$A$1:$A$49,0))</f>
        <v>2.5</v>
      </c>
      <c r="L286" s="5">
        <f>INDEX(products!$E$1:$E$49,MATCH($D286,products!$A$1:$A$49,0))</f>
        <v>31.624999999999996</v>
      </c>
      <c r="M286" s="5">
        <f t="shared" si="4"/>
        <v>94.874999999999986</v>
      </c>
      <c r="N286" t="str" cm="1">
        <f t="array" ref="N286">_xlfn.IFS(I286="Rob","Robusta",I286="Exc","Excelsa",I286="Ara","Arabica",I286="Lib","Liberica")</f>
        <v>Excelsa</v>
      </c>
      <c r="O286" t="str" cm="1">
        <f t="array" ref="O286">_xlfn.SWITCH($J286,"M","Medium","L","Light","D","Dark")</f>
        <v>Medium</v>
      </c>
      <c r="P286" t="str">
        <f>_xlfn.XLOOKUP(Table1[[#This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IF(_xlfn.XLOOKUP(C287,customers!$A$1:$A$1001,customers!$C$1:$C$1001,,0)=0,"Not _Provided",_xlfn.XLOOKUP(C287,customers!$A$1:$A$1001,customers!$C$1:$C$1001,,0))</f>
        <v>Not _Provided</v>
      </c>
      <c r="H287" s="2" t="str">
        <f>_xlfn.XLOOKUP(C287,customers!$A$1:$A$1001,customers!$G$1:$G$1001,,0)</f>
        <v>United States</v>
      </c>
      <c r="I287" t="str">
        <f>INDEX(products!$B$1:$B$49,MATCH($D287,products!$A$1:$A$49,0))</f>
        <v>Lib</v>
      </c>
      <c r="J287" t="str">
        <f>INDEX(products!$C$1:$C$49,MATCH($D287,products!$A$1:$A$49,0))</f>
        <v>L</v>
      </c>
      <c r="K287" s="4">
        <f>INDEX(products!$D$1:$D$49,MATCH($D287,products!$A$1:$A$49,0))</f>
        <v>2.5</v>
      </c>
      <c r="L287" s="5">
        <f>INDEX(products!$E$1:$E$49,MATCH($D287,products!$A$1:$A$49,0))</f>
        <v>36.454999999999998</v>
      </c>
      <c r="M287" s="5">
        <f t="shared" si="4"/>
        <v>36.454999999999998</v>
      </c>
      <c r="N287" t="str" cm="1">
        <f t="array" ref="N287">_xlfn.IFS(I287="Rob","Robusta",I287="Exc","Excelsa",I287="Ara","Arabica",I287="Lib","Liberica")</f>
        <v>Liberica</v>
      </c>
      <c r="O287" t="str" cm="1">
        <f t="array" ref="O287">_xlfn.SWITCH($J287,"M","Medium","L","Light","D","Dark")</f>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IF(_xlfn.XLOOKUP(C288,customers!$A$1:$A$1001,customers!$C$1:$C$1001,,0)=0,"Not _Provided",_xlfn.XLOOKUP(C288,customers!$A$1:$A$1001,customers!$C$1:$C$1001,,0))</f>
        <v>bmergue7y@umn.edu</v>
      </c>
      <c r="H288" s="2" t="str">
        <f>_xlfn.XLOOKUP(C288,customers!$A$1:$A$1001,customers!$G$1:$G$1001,,0)</f>
        <v>United States</v>
      </c>
      <c r="I288" t="str">
        <f>INDEX(products!$B$1:$B$49,MATCH($D288,products!$A$1:$A$49,0))</f>
        <v>Ara</v>
      </c>
      <c r="J288" t="str">
        <f>INDEX(products!$C$1:$C$49,MATCH($D288,products!$A$1:$A$49,0))</f>
        <v>M</v>
      </c>
      <c r="K288" s="4">
        <f>INDEX(products!$D$1:$D$49,MATCH($D288,products!$A$1:$A$49,0))</f>
        <v>0.2</v>
      </c>
      <c r="L288" s="5">
        <f>INDEX(products!$E$1:$E$49,MATCH($D288,products!$A$1:$A$49,0))</f>
        <v>3.375</v>
      </c>
      <c r="M288" s="5">
        <f t="shared" si="4"/>
        <v>13.5</v>
      </c>
      <c r="N288" t="str" cm="1">
        <f t="array" ref="N288">_xlfn.IFS(I288="Rob","Robusta",I288="Exc","Excelsa",I288="Ara","Arabica",I288="Lib","Liberica")</f>
        <v>Arabica</v>
      </c>
      <c r="O288" t="str" cm="1">
        <f t="array" ref="O288">_xlfn.SWITCH($J288,"M","Medium","L","Light","D","Dark")</f>
        <v>Medium</v>
      </c>
      <c r="P288" t="str">
        <f>_xlfn.XLOOKUP(Table1[[#This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IF(_xlfn.XLOOKUP(C289,customers!$A$1:$A$1001,customers!$C$1:$C$1001,,0)=0,"Not _Provided",_xlfn.XLOOKUP(C289,customers!$A$1:$A$1001,customers!$C$1:$C$1001,,0))</f>
        <v>kpatise7z@jigsy.com</v>
      </c>
      <c r="H289" s="2" t="str">
        <f>_xlfn.XLOOKUP(C289,customers!$A$1:$A$1001,customers!$G$1:$G$1001,,0)</f>
        <v>United States</v>
      </c>
      <c r="I289" t="str">
        <f>INDEX(products!$B$1:$B$49,MATCH($D289,products!$A$1:$A$49,0))</f>
        <v>Rob</v>
      </c>
      <c r="J289" t="str">
        <f>INDEX(products!$C$1:$C$49,MATCH($D289,products!$A$1:$A$49,0))</f>
        <v>L</v>
      </c>
      <c r="K289" s="4">
        <f>INDEX(products!$D$1:$D$49,MATCH($D289,products!$A$1:$A$49,0))</f>
        <v>0.2</v>
      </c>
      <c r="L289" s="5">
        <f>INDEX(products!$E$1:$E$49,MATCH($D289,products!$A$1:$A$49,0))</f>
        <v>3.5849999999999995</v>
      </c>
      <c r="M289" s="5">
        <f t="shared" si="4"/>
        <v>14.339999999999998</v>
      </c>
      <c r="N289" t="str" cm="1">
        <f t="array" ref="N289">_xlfn.IFS(I289="Rob","Robusta",I289="Exc","Excelsa",I289="Ara","Arabica",I289="Lib","Liberica")</f>
        <v>Robusta</v>
      </c>
      <c r="O289" t="str" cm="1">
        <f t="array" ref="O289">_xlfn.SWITCH($J289,"M","Medium","L","Light","D","Dark")</f>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IF(_xlfn.XLOOKUP(C290,customers!$A$1:$A$1001,customers!$C$1:$C$1001,,0)=0,"Not _Provided",_xlfn.XLOOKUP(C290,customers!$A$1:$A$1001,customers!$C$1:$C$1001,,0))</f>
        <v>Not _Provided</v>
      </c>
      <c r="H290" s="2" t="str">
        <f>_xlfn.XLOOKUP(C290,customers!$A$1:$A$1001,customers!$G$1:$G$1001,,0)</f>
        <v>Ireland</v>
      </c>
      <c r="I290" t="str">
        <f>INDEX(products!$B$1:$B$49,MATCH($D290,products!$A$1:$A$49,0))</f>
        <v>Exc</v>
      </c>
      <c r="J290" t="str">
        <f>INDEX(products!$C$1:$C$49,MATCH($D290,products!$A$1:$A$49,0))</f>
        <v>M</v>
      </c>
      <c r="K290" s="4">
        <f>INDEX(products!$D$1:$D$49,MATCH($D290,products!$A$1:$A$49,0))</f>
        <v>0.5</v>
      </c>
      <c r="L290" s="5">
        <f>INDEX(products!$E$1:$E$49,MATCH($D290,products!$A$1:$A$49,0))</f>
        <v>8.25</v>
      </c>
      <c r="M290" s="5">
        <f t="shared" si="4"/>
        <v>8.25</v>
      </c>
      <c r="N290" t="str" cm="1">
        <f t="array" ref="N290">_xlfn.IFS(I290="Rob","Robusta",I290="Exc","Excelsa",I290="Ara","Arabica",I290="Lib","Liberica")</f>
        <v>Excelsa</v>
      </c>
      <c r="O290" t="str" cm="1">
        <f t="array" ref="O290">_xlfn.SWITCH($J290,"M","Medium","L","Light","D","Dark")</f>
        <v>Medium</v>
      </c>
      <c r="P290" t="str">
        <f>_xlfn.XLOOKUP(Table1[[#This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IF(_xlfn.XLOOKUP(C291,customers!$A$1:$A$1001,customers!$C$1:$C$1001,,0)=0,"Not _Provided",_xlfn.XLOOKUP(C291,customers!$A$1:$A$1001,customers!$C$1:$C$1001,,0))</f>
        <v>Not _Provided</v>
      </c>
      <c r="H291" s="2" t="str">
        <f>_xlfn.XLOOKUP(C291,customers!$A$1:$A$1001,customers!$G$1:$G$1001,,0)</f>
        <v>United States</v>
      </c>
      <c r="I291" t="str">
        <f>INDEX(products!$B$1:$B$49,MATCH($D291,products!$A$1:$A$49,0))</f>
        <v>Rob</v>
      </c>
      <c r="J291" t="str">
        <f>INDEX(products!$C$1:$C$49,MATCH($D291,products!$A$1:$A$49,0))</f>
        <v>D</v>
      </c>
      <c r="K291" s="4">
        <f>INDEX(products!$D$1:$D$49,MATCH($D291,products!$A$1:$A$49,0))</f>
        <v>0.2</v>
      </c>
      <c r="L291" s="5">
        <f>INDEX(products!$E$1:$E$49,MATCH($D291,products!$A$1:$A$49,0))</f>
        <v>2.6849999999999996</v>
      </c>
      <c r="M291" s="5">
        <f t="shared" si="4"/>
        <v>13.424999999999997</v>
      </c>
      <c r="N291" t="str" cm="1">
        <f t="array" ref="N291">_xlfn.IFS(I291="Rob","Robusta",I291="Exc","Excelsa",I291="Ara","Arabica",I291="Lib","Liberica")</f>
        <v>Robusta</v>
      </c>
      <c r="O291" t="str" cm="1">
        <f t="array" ref="O291">_xlfn.SWITCH($J291,"M","Medium","L","Light","D","Dark")</f>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IF(_xlfn.XLOOKUP(C292,customers!$A$1:$A$1001,customers!$C$1:$C$1001,,0)=0,"Not _Provided",_xlfn.XLOOKUP(C292,customers!$A$1:$A$1001,customers!$C$1:$C$1001,,0))</f>
        <v>dduke82@vkontakte.ru</v>
      </c>
      <c r="H292" s="2" t="str">
        <f>_xlfn.XLOOKUP(C292,customers!$A$1:$A$1001,customers!$G$1:$G$1001,,0)</f>
        <v>United States</v>
      </c>
      <c r="I292" t="str">
        <f>INDEX(products!$B$1:$B$49,MATCH($D292,products!$A$1:$A$49,0))</f>
        <v>Ara</v>
      </c>
      <c r="J292" t="str">
        <f>INDEX(products!$C$1:$C$49,MATCH($D292,products!$A$1:$A$49,0))</f>
        <v>D</v>
      </c>
      <c r="K292" s="4">
        <f>INDEX(products!$D$1:$D$49,MATCH($D292,products!$A$1:$A$49,0))</f>
        <v>1</v>
      </c>
      <c r="L292" s="5">
        <f>INDEX(products!$E$1:$E$49,MATCH($D292,products!$A$1:$A$49,0))</f>
        <v>9.9499999999999993</v>
      </c>
      <c r="M292" s="5">
        <f t="shared" si="4"/>
        <v>49.75</v>
      </c>
      <c r="N292" t="str" cm="1">
        <f t="array" ref="N292">_xlfn.IFS(I292="Rob","Robusta",I292="Exc","Excelsa",I292="Ara","Arabica",I292="Lib","Liberica")</f>
        <v>Arabica</v>
      </c>
      <c r="O292" t="str" cm="1">
        <f t="array" ref="O292">_xlfn.SWITCH($J292,"M","Medium","L","Light","D","Dark")</f>
        <v>Dark</v>
      </c>
      <c r="P292" t="str">
        <f>_xlfn.XLOOKUP(Table1[[#This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IF(_xlfn.XLOOKUP(C293,customers!$A$1:$A$1001,customers!$C$1:$C$1001,,0)=0,"Not _Provided",_xlfn.XLOOKUP(C293,customers!$A$1:$A$1001,customers!$C$1:$C$1001,,0))</f>
        <v>Not _Provided</v>
      </c>
      <c r="H293" s="2" t="str">
        <f>_xlfn.XLOOKUP(C293,customers!$A$1:$A$1001,customers!$G$1:$G$1001,,0)</f>
        <v>Ireland</v>
      </c>
      <c r="I293" t="str">
        <f>INDEX(products!$B$1:$B$49,MATCH($D293,products!$A$1:$A$49,0))</f>
        <v>Exc</v>
      </c>
      <c r="J293" t="str">
        <f>INDEX(products!$C$1:$C$49,MATCH($D293,products!$A$1:$A$49,0))</f>
        <v>M</v>
      </c>
      <c r="K293" s="4">
        <f>INDEX(products!$D$1:$D$49,MATCH($D293,products!$A$1:$A$49,0))</f>
        <v>0.5</v>
      </c>
      <c r="L293" s="5">
        <f>INDEX(products!$E$1:$E$49,MATCH($D293,products!$A$1:$A$49,0))</f>
        <v>8.25</v>
      </c>
      <c r="M293" s="5">
        <f t="shared" si="4"/>
        <v>16.5</v>
      </c>
      <c r="N293" t="str" cm="1">
        <f t="array" ref="N293">_xlfn.IFS(I293="Rob","Robusta",I293="Exc","Excelsa",I293="Ara","Arabica",I293="Lib","Liberica")</f>
        <v>Excelsa</v>
      </c>
      <c r="O293" t="str" cm="1">
        <f t="array" ref="O293">_xlfn.SWITCH($J293,"M","Medium","L","Light","D","Dark")</f>
        <v>Medium</v>
      </c>
      <c r="P293" t="str">
        <f>_xlfn.XLOOKUP(Table1[[#This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IF(_xlfn.XLOOKUP(C294,customers!$A$1:$A$1001,customers!$C$1:$C$1001,,0)=0,"Not _Provided",_xlfn.XLOOKUP(C294,customers!$A$1:$A$1001,customers!$C$1:$C$1001,,0))</f>
        <v>ihussey84@mapy.cz</v>
      </c>
      <c r="H294" s="2" t="str">
        <f>_xlfn.XLOOKUP(C294,customers!$A$1:$A$1001,customers!$G$1:$G$1001,,0)</f>
        <v>United States</v>
      </c>
      <c r="I294" t="str">
        <f>INDEX(products!$B$1:$B$49,MATCH($D294,products!$A$1:$A$49,0))</f>
        <v>Ara</v>
      </c>
      <c r="J294" t="str">
        <f>INDEX(products!$C$1:$C$49,MATCH($D294,products!$A$1:$A$49,0))</f>
        <v>D</v>
      </c>
      <c r="K294" s="4">
        <f>INDEX(products!$D$1:$D$49,MATCH($D294,products!$A$1:$A$49,0))</f>
        <v>0.5</v>
      </c>
      <c r="L294" s="5">
        <f>INDEX(products!$E$1:$E$49,MATCH($D294,products!$A$1:$A$49,0))</f>
        <v>5.97</v>
      </c>
      <c r="M294" s="5">
        <f t="shared" si="4"/>
        <v>17.91</v>
      </c>
      <c r="N294" t="str" cm="1">
        <f t="array" ref="N294">_xlfn.IFS(I294="Rob","Robusta",I294="Exc","Excelsa",I294="Ara","Arabica",I294="Lib","Liberica")</f>
        <v>Arabica</v>
      </c>
      <c r="O294" t="str" cm="1">
        <f t="array" ref="O294">_xlfn.SWITCH($J294,"M","Medium","L","Light","D","Dark")</f>
        <v>Dark</v>
      </c>
      <c r="P294" t="str">
        <f>_xlfn.XLOOKUP(Table1[[#This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IF(_xlfn.XLOOKUP(C295,customers!$A$1:$A$1001,customers!$C$1:$C$1001,,0)=0,"Not _Provided",_xlfn.XLOOKUP(C295,customers!$A$1:$A$1001,customers!$C$1:$C$1001,,0))</f>
        <v>cpinkerton85@upenn.edu</v>
      </c>
      <c r="H295" s="2" t="str">
        <f>_xlfn.XLOOKUP(C295,customers!$A$1:$A$1001,customers!$G$1:$G$1001,,0)</f>
        <v>United States</v>
      </c>
      <c r="I295" t="str">
        <f>INDEX(products!$B$1:$B$49,MATCH($D295,products!$A$1:$A$49,0))</f>
        <v>Ara</v>
      </c>
      <c r="J295" t="str">
        <f>INDEX(products!$C$1:$C$49,MATCH($D295,products!$A$1:$A$49,0))</f>
        <v>D</v>
      </c>
      <c r="K295" s="4">
        <f>INDEX(products!$D$1:$D$49,MATCH($D295,products!$A$1:$A$49,0))</f>
        <v>0.5</v>
      </c>
      <c r="L295" s="5">
        <f>INDEX(products!$E$1:$E$49,MATCH($D295,products!$A$1:$A$49,0))</f>
        <v>5.97</v>
      </c>
      <c r="M295" s="5">
        <f t="shared" si="4"/>
        <v>29.849999999999998</v>
      </c>
      <c r="N295" t="str" cm="1">
        <f t="array" ref="N295">_xlfn.IFS(I295="Rob","Robusta",I295="Exc","Excelsa",I295="Ara","Arabica",I295="Lib","Liberica")</f>
        <v>Arabica</v>
      </c>
      <c r="O295" t="str" cm="1">
        <f t="array" ref="O295">_xlfn.SWITCH($J295,"M","Medium","L","Light","D","Dark")</f>
        <v>Dark</v>
      </c>
      <c r="P295" t="str">
        <f>_xlfn.XLOOKUP(Table1[[#This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IF(_xlfn.XLOOKUP(C296,customers!$A$1:$A$1001,customers!$C$1:$C$1001,,0)=0,"Not _Provided",_xlfn.XLOOKUP(C296,customers!$A$1:$A$1001,customers!$C$1:$C$1001,,0))</f>
        <v>Not _Provided</v>
      </c>
      <c r="H296" s="2" t="str">
        <f>_xlfn.XLOOKUP(C296,customers!$A$1:$A$1001,customers!$G$1:$G$1001,,0)</f>
        <v>United States</v>
      </c>
      <c r="I296" t="str">
        <f>INDEX(products!$B$1:$B$49,MATCH($D296,products!$A$1:$A$49,0))</f>
        <v>Exc</v>
      </c>
      <c r="J296" t="str">
        <f>INDEX(products!$C$1:$C$49,MATCH($D296,products!$A$1:$A$49,0))</f>
        <v>L</v>
      </c>
      <c r="K296" s="4">
        <f>INDEX(products!$D$1:$D$49,MATCH($D296,products!$A$1:$A$49,0))</f>
        <v>1</v>
      </c>
      <c r="L296" s="5">
        <f>INDEX(products!$E$1:$E$49,MATCH($D296,products!$A$1:$A$49,0))</f>
        <v>14.85</v>
      </c>
      <c r="M296" s="5">
        <f t="shared" si="4"/>
        <v>44.55</v>
      </c>
      <c r="N296" t="str" cm="1">
        <f t="array" ref="N296">_xlfn.IFS(I296="Rob","Robusta",I296="Exc","Excelsa",I296="Ara","Arabica",I296="Lib","Liberica")</f>
        <v>Excelsa</v>
      </c>
      <c r="O296" t="str" cm="1">
        <f t="array" ref="O296">_xlfn.SWITCH($J296,"M","Medium","L","Light","D","Dark")</f>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IF(_xlfn.XLOOKUP(C297,customers!$A$1:$A$1001,customers!$C$1:$C$1001,,0)=0,"Not _Provided",_xlfn.XLOOKUP(C297,customers!$A$1:$A$1001,customers!$C$1:$C$1001,,0))</f>
        <v>Not _Provided</v>
      </c>
      <c r="H297" s="2" t="str">
        <f>_xlfn.XLOOKUP(C297,customers!$A$1:$A$1001,customers!$G$1:$G$1001,,0)</f>
        <v>United States</v>
      </c>
      <c r="I297" t="str">
        <f>INDEX(products!$B$1:$B$49,MATCH($D297,products!$A$1:$A$49,0))</f>
        <v>Exc</v>
      </c>
      <c r="J297" t="str">
        <f>INDEX(products!$C$1:$C$49,MATCH($D297,products!$A$1:$A$49,0))</f>
        <v>M</v>
      </c>
      <c r="K297" s="4">
        <f>INDEX(products!$D$1:$D$49,MATCH($D297,products!$A$1:$A$49,0))</f>
        <v>1</v>
      </c>
      <c r="L297" s="5">
        <f>INDEX(products!$E$1:$E$49,MATCH($D297,products!$A$1:$A$49,0))</f>
        <v>13.75</v>
      </c>
      <c r="M297" s="5">
        <f t="shared" si="4"/>
        <v>27.5</v>
      </c>
      <c r="N297" t="str" cm="1">
        <f t="array" ref="N297">_xlfn.IFS(I297="Rob","Robusta",I297="Exc","Excelsa",I297="Ara","Arabica",I297="Lib","Liberica")</f>
        <v>Excelsa</v>
      </c>
      <c r="O297" t="str" cm="1">
        <f t="array" ref="O297">_xlfn.SWITCH($J297,"M","Medium","L","Light","D","Dark")</f>
        <v>Medium</v>
      </c>
      <c r="P297" t="str">
        <f>_xlfn.XLOOKUP(Table1[[#This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IF(_xlfn.XLOOKUP(C298,customers!$A$1:$A$1001,customers!$C$1:$C$1001,,0)=0,"Not _Provided",_xlfn.XLOOKUP(C298,customers!$A$1:$A$1001,customers!$C$1:$C$1001,,0))</f>
        <v>dvizor88@furl.net</v>
      </c>
      <c r="H298" s="2" t="str">
        <f>_xlfn.XLOOKUP(C298,customers!$A$1:$A$1001,customers!$G$1:$G$1001,,0)</f>
        <v>United States</v>
      </c>
      <c r="I298" t="str">
        <f>INDEX(products!$B$1:$B$49,MATCH($D298,products!$A$1:$A$49,0))</f>
        <v>Rob</v>
      </c>
      <c r="J298" t="str">
        <f>INDEX(products!$C$1:$C$49,MATCH($D298,products!$A$1:$A$49,0))</f>
        <v>M</v>
      </c>
      <c r="K298" s="4">
        <f>INDEX(products!$D$1:$D$49,MATCH($D298,products!$A$1:$A$49,0))</f>
        <v>0.5</v>
      </c>
      <c r="L298" s="5">
        <f>INDEX(products!$E$1:$E$49,MATCH($D298,products!$A$1:$A$49,0))</f>
        <v>5.97</v>
      </c>
      <c r="M298" s="5">
        <f t="shared" si="4"/>
        <v>35.82</v>
      </c>
      <c r="N298" t="str" cm="1">
        <f t="array" ref="N298">_xlfn.IFS(I298="Rob","Robusta",I298="Exc","Excelsa",I298="Ara","Arabica",I298="Lib","Liberica")</f>
        <v>Robusta</v>
      </c>
      <c r="O298" t="str" cm="1">
        <f t="array" ref="O298">_xlfn.SWITCH($J298,"M","Medium","L","Light","D","Dark")</f>
        <v>Medium</v>
      </c>
      <c r="P298" t="str">
        <f>_xlfn.XLOOKUP(Table1[[#This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IF(_xlfn.XLOOKUP(C299,customers!$A$1:$A$1001,customers!$C$1:$C$1001,,0)=0,"Not _Provided",_xlfn.XLOOKUP(C299,customers!$A$1:$A$1001,customers!$C$1:$C$1001,,0))</f>
        <v>esedgebeer89@oaic.gov.au</v>
      </c>
      <c r="H299" s="2" t="str">
        <f>_xlfn.XLOOKUP(C299,customers!$A$1:$A$1001,customers!$G$1:$G$1001,,0)</f>
        <v>United States</v>
      </c>
      <c r="I299" t="str">
        <f>INDEX(products!$B$1:$B$49,MATCH($D299,products!$A$1:$A$49,0))</f>
        <v>Rob</v>
      </c>
      <c r="J299" t="str">
        <f>INDEX(products!$C$1:$C$49,MATCH($D299,products!$A$1:$A$49,0))</f>
        <v>D</v>
      </c>
      <c r="K299" s="4">
        <f>INDEX(products!$D$1:$D$49,MATCH($D299,products!$A$1:$A$49,0))</f>
        <v>0.5</v>
      </c>
      <c r="L299" s="5">
        <f>INDEX(products!$E$1:$E$49,MATCH($D299,products!$A$1:$A$49,0))</f>
        <v>5.3699999999999992</v>
      </c>
      <c r="M299" s="5">
        <f t="shared" si="4"/>
        <v>16.11</v>
      </c>
      <c r="N299" t="str" cm="1">
        <f t="array" ref="N299">_xlfn.IFS(I299="Rob","Robusta",I299="Exc","Excelsa",I299="Ara","Arabica",I299="Lib","Liberica")</f>
        <v>Robusta</v>
      </c>
      <c r="O299" t="str" cm="1">
        <f t="array" ref="O299">_xlfn.SWITCH($J299,"M","Medium","L","Light","D","Dark")</f>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IF(_xlfn.XLOOKUP(C300,customers!$A$1:$A$1001,customers!$C$1:$C$1001,,0)=0,"Not _Provided",_xlfn.XLOOKUP(C300,customers!$A$1:$A$1001,customers!$C$1:$C$1001,,0))</f>
        <v>klestrange8a@lulu.com</v>
      </c>
      <c r="H300" s="2" t="str">
        <f>_xlfn.XLOOKUP(C300,customers!$A$1:$A$1001,customers!$G$1:$G$1001,,0)</f>
        <v>United States</v>
      </c>
      <c r="I300" t="str">
        <f>INDEX(products!$B$1:$B$49,MATCH($D300,products!$A$1:$A$49,0))</f>
        <v>Exc</v>
      </c>
      <c r="J300" t="str">
        <f>INDEX(products!$C$1:$C$49,MATCH($D300,products!$A$1:$A$49,0))</f>
        <v>L</v>
      </c>
      <c r="K300" s="4">
        <f>INDEX(products!$D$1:$D$49,MATCH($D300,products!$A$1:$A$49,0))</f>
        <v>0.2</v>
      </c>
      <c r="L300" s="5">
        <f>INDEX(products!$E$1:$E$49,MATCH($D300,products!$A$1:$A$49,0))</f>
        <v>4.4550000000000001</v>
      </c>
      <c r="M300" s="5">
        <f t="shared" si="4"/>
        <v>26.73</v>
      </c>
      <c r="N300" t="str" cm="1">
        <f t="array" ref="N300">_xlfn.IFS(I300="Rob","Robusta",I300="Exc","Excelsa",I300="Ara","Arabica",I300="Lib","Liberica")</f>
        <v>Excelsa</v>
      </c>
      <c r="O300" t="str" cm="1">
        <f t="array" ref="O300">_xlfn.SWITCH($J300,"M","Medium","L","Light","D","Dark")</f>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IF(_xlfn.XLOOKUP(C301,customers!$A$1:$A$1001,customers!$C$1:$C$1001,,0)=0,"Not _Provided",_xlfn.XLOOKUP(C301,customers!$A$1:$A$1001,customers!$C$1:$C$1001,,0))</f>
        <v>ltanti8b@techcrunch.com</v>
      </c>
      <c r="H301" s="2" t="str">
        <f>_xlfn.XLOOKUP(C301,customers!$A$1:$A$1001,customers!$G$1:$G$1001,,0)</f>
        <v>United States</v>
      </c>
      <c r="I301" t="str">
        <f>INDEX(products!$B$1:$B$49,MATCH($D301,products!$A$1:$A$49,0))</f>
        <v>Exc</v>
      </c>
      <c r="J301" t="str">
        <f>INDEX(products!$C$1:$C$49,MATCH($D301,products!$A$1:$A$49,0))</f>
        <v>L</v>
      </c>
      <c r="K301" s="4">
        <f>INDEX(products!$D$1:$D$49,MATCH($D301,products!$A$1:$A$49,0))</f>
        <v>2.5</v>
      </c>
      <c r="L301" s="5">
        <f>INDEX(products!$E$1:$E$49,MATCH($D301,products!$A$1:$A$49,0))</f>
        <v>34.154999999999994</v>
      </c>
      <c r="M301" s="5">
        <f t="shared" si="4"/>
        <v>204.92999999999995</v>
      </c>
      <c r="N301" t="str" cm="1">
        <f t="array" ref="N301">_xlfn.IFS(I301="Rob","Robusta",I301="Exc","Excelsa",I301="Ara","Arabica",I301="Lib","Liberica")</f>
        <v>Excelsa</v>
      </c>
      <c r="O301" t="str" cm="1">
        <f t="array" ref="O301">_xlfn.SWITCH($J301,"M","Medium","L","Light","D","Dark")</f>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IF(_xlfn.XLOOKUP(C302,customers!$A$1:$A$1001,customers!$C$1:$C$1001,,0)=0,"Not _Provided",_xlfn.XLOOKUP(C302,customers!$A$1:$A$1001,customers!$C$1:$C$1001,,0))</f>
        <v>ade8c@1und1.de</v>
      </c>
      <c r="H302" s="2" t="str">
        <f>_xlfn.XLOOKUP(C302,customers!$A$1:$A$1001,customers!$G$1:$G$1001,,0)</f>
        <v>United States</v>
      </c>
      <c r="I302" t="str">
        <f>INDEX(products!$B$1:$B$49,MATCH($D302,products!$A$1:$A$49,0))</f>
        <v>Ara</v>
      </c>
      <c r="J302" t="str">
        <f>INDEX(products!$C$1:$C$49,MATCH($D302,products!$A$1:$A$49,0))</f>
        <v>L</v>
      </c>
      <c r="K302" s="4">
        <f>INDEX(products!$D$1:$D$49,MATCH($D302,products!$A$1:$A$49,0))</f>
        <v>1</v>
      </c>
      <c r="L302" s="5">
        <f>INDEX(products!$E$1:$E$49,MATCH($D302,products!$A$1:$A$49,0))</f>
        <v>12.95</v>
      </c>
      <c r="M302" s="5">
        <f t="shared" si="4"/>
        <v>38.849999999999994</v>
      </c>
      <c r="N302" t="str" cm="1">
        <f t="array" ref="N302">_xlfn.IFS(I302="Rob","Robusta",I302="Exc","Excelsa",I302="Ara","Arabica",I302="Lib","Liberica")</f>
        <v>Arabica</v>
      </c>
      <c r="O302" t="str" cm="1">
        <f t="array" ref="O302">_xlfn.SWITCH($J302,"M","Medium","L","Light","D","Dark")</f>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IF(_xlfn.XLOOKUP(C303,customers!$A$1:$A$1001,customers!$C$1:$C$1001,,0)=0,"Not _Provided",_xlfn.XLOOKUP(C303,customers!$A$1:$A$1001,customers!$C$1:$C$1001,,0))</f>
        <v>tjedrachowicz8d@acquirethisname.com</v>
      </c>
      <c r="H303" s="2" t="str">
        <f>_xlfn.XLOOKUP(C303,customers!$A$1:$A$1001,customers!$G$1:$G$1001,,0)</f>
        <v>United States</v>
      </c>
      <c r="I303" t="str">
        <f>INDEX(products!$B$1:$B$49,MATCH($D303,products!$A$1:$A$49,0))</f>
        <v>Lib</v>
      </c>
      <c r="J303" t="str">
        <f>INDEX(products!$C$1:$C$49,MATCH($D303,products!$A$1:$A$49,0))</f>
        <v>D</v>
      </c>
      <c r="K303" s="4">
        <f>INDEX(products!$D$1:$D$49,MATCH($D303,products!$A$1:$A$49,0))</f>
        <v>0.2</v>
      </c>
      <c r="L303" s="5">
        <f>INDEX(products!$E$1:$E$49,MATCH($D303,products!$A$1:$A$49,0))</f>
        <v>3.8849999999999998</v>
      </c>
      <c r="M303" s="5">
        <f t="shared" si="4"/>
        <v>15.54</v>
      </c>
      <c r="N303" t="str" cm="1">
        <f t="array" ref="N303">_xlfn.IFS(I303="Rob","Robusta",I303="Exc","Excelsa",I303="Ara","Arabica",I303="Lib","Liberica")</f>
        <v>Liberica</v>
      </c>
      <c r="O303" t="str" cm="1">
        <f t="array" ref="O303">_xlfn.SWITCH($J303,"M","Medium","L","Light","D","Dark")</f>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IF(_xlfn.XLOOKUP(C304,customers!$A$1:$A$1001,customers!$C$1:$C$1001,,0)=0,"Not _Provided",_xlfn.XLOOKUP(C304,customers!$A$1:$A$1001,customers!$C$1:$C$1001,,0))</f>
        <v>pstonner8e@moonfruit.com</v>
      </c>
      <c r="H304" s="2" t="str">
        <f>_xlfn.XLOOKUP(C304,customers!$A$1:$A$1001,customers!$G$1:$G$1001,,0)</f>
        <v>United States</v>
      </c>
      <c r="I304" t="str">
        <f>INDEX(products!$B$1:$B$49,MATCH($D304,products!$A$1:$A$49,0))</f>
        <v>Ara</v>
      </c>
      <c r="J304" t="str">
        <f>INDEX(products!$C$1:$C$49,MATCH($D304,products!$A$1:$A$49,0))</f>
        <v>M</v>
      </c>
      <c r="K304" s="4">
        <f>INDEX(products!$D$1:$D$49,MATCH($D304,products!$A$1:$A$49,0))</f>
        <v>0.5</v>
      </c>
      <c r="L304" s="5">
        <f>INDEX(products!$E$1:$E$49,MATCH($D304,products!$A$1:$A$49,0))</f>
        <v>6.75</v>
      </c>
      <c r="M304" s="5">
        <f t="shared" si="4"/>
        <v>6.75</v>
      </c>
      <c r="N304" t="str" cm="1">
        <f t="array" ref="N304">_xlfn.IFS(I304="Rob","Robusta",I304="Exc","Excelsa",I304="Ara","Arabica",I304="Lib","Liberica")</f>
        <v>Arabica</v>
      </c>
      <c r="O304" t="str" cm="1">
        <f t="array" ref="O304">_xlfn.SWITCH($J304,"M","Medium","L","Light","D","Dark")</f>
        <v>Medium</v>
      </c>
      <c r="P304" t="str">
        <f>_xlfn.XLOOKUP(Table1[[#This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IF(_xlfn.XLOOKUP(C305,customers!$A$1:$A$1001,customers!$C$1:$C$1001,,0)=0,"Not _Provided",_xlfn.XLOOKUP(C305,customers!$A$1:$A$1001,customers!$C$1:$C$1001,,0))</f>
        <v>dtingly8f@goo.ne.jp</v>
      </c>
      <c r="H305" s="2" t="str">
        <f>_xlfn.XLOOKUP(C305,customers!$A$1:$A$1001,customers!$G$1:$G$1001,,0)</f>
        <v>United States</v>
      </c>
      <c r="I305" t="str">
        <f>INDEX(products!$B$1:$B$49,MATCH($D305,products!$A$1:$A$49,0))</f>
        <v>Exc</v>
      </c>
      <c r="J305" t="str">
        <f>INDEX(products!$C$1:$C$49,MATCH($D305,products!$A$1:$A$49,0))</f>
        <v>D</v>
      </c>
      <c r="K305" s="4">
        <f>INDEX(products!$D$1:$D$49,MATCH($D305,products!$A$1:$A$49,0))</f>
        <v>2.5</v>
      </c>
      <c r="L305" s="5">
        <f>INDEX(products!$E$1:$E$49,MATCH($D305,products!$A$1:$A$49,0))</f>
        <v>27.945</v>
      </c>
      <c r="M305" s="5">
        <f t="shared" si="4"/>
        <v>111.78</v>
      </c>
      <c r="N305" t="str" cm="1">
        <f t="array" ref="N305">_xlfn.IFS(I305="Rob","Robusta",I305="Exc","Excelsa",I305="Ara","Arabica",I305="Lib","Liberica")</f>
        <v>Excelsa</v>
      </c>
      <c r="O305" t="str" cm="1">
        <f t="array" ref="O305">_xlfn.SWITCH($J305,"M","Medium","L","Light","D","Dark")</f>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IF(_xlfn.XLOOKUP(C306,customers!$A$1:$A$1001,customers!$C$1:$C$1001,,0)=0,"Not _Provided",_xlfn.XLOOKUP(C306,customers!$A$1:$A$1001,customers!$C$1:$C$1001,,0))</f>
        <v>crushe8n@about.me</v>
      </c>
      <c r="H306" s="2" t="str">
        <f>_xlfn.XLOOKUP(C306,customers!$A$1:$A$1001,customers!$G$1:$G$1001,,0)</f>
        <v>United States</v>
      </c>
      <c r="I306" t="str">
        <f>INDEX(products!$B$1:$B$49,MATCH($D306,products!$A$1:$A$49,0))</f>
        <v>Ara</v>
      </c>
      <c r="J306" t="str">
        <f>INDEX(products!$C$1:$C$49,MATCH($D306,products!$A$1:$A$49,0))</f>
        <v>L</v>
      </c>
      <c r="K306" s="4">
        <f>INDEX(products!$D$1:$D$49,MATCH($D306,products!$A$1:$A$49,0))</f>
        <v>0.2</v>
      </c>
      <c r="L306" s="5">
        <f>INDEX(products!$E$1:$E$49,MATCH($D306,products!$A$1:$A$49,0))</f>
        <v>3.8849999999999998</v>
      </c>
      <c r="M306" s="5">
        <f t="shared" si="4"/>
        <v>3.8849999999999998</v>
      </c>
      <c r="N306" t="str" cm="1">
        <f t="array" ref="N306">_xlfn.IFS(I306="Rob","Robusta",I306="Exc","Excelsa",I306="Ara","Arabica",I306="Lib","Liberica")</f>
        <v>Arabica</v>
      </c>
      <c r="O306" t="str" cm="1">
        <f t="array" ref="O306">_xlfn.SWITCH($J306,"M","Medium","L","Light","D","Dark")</f>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IF(_xlfn.XLOOKUP(C307,customers!$A$1:$A$1001,customers!$C$1:$C$1001,,0)=0,"Not _Provided",_xlfn.XLOOKUP(C307,customers!$A$1:$A$1001,customers!$C$1:$C$1001,,0))</f>
        <v>bchecci8h@usa.gov</v>
      </c>
      <c r="H307" s="2" t="str">
        <f>_xlfn.XLOOKUP(C307,customers!$A$1:$A$1001,customers!$G$1:$G$1001,,0)</f>
        <v>United Kingdom</v>
      </c>
      <c r="I307" t="str">
        <f>INDEX(products!$B$1:$B$49,MATCH($D307,products!$A$1:$A$49,0))</f>
        <v>Lib</v>
      </c>
      <c r="J307" t="str">
        <f>INDEX(products!$C$1:$C$49,MATCH($D307,products!$A$1:$A$49,0))</f>
        <v>M</v>
      </c>
      <c r="K307" s="4">
        <f>INDEX(products!$D$1:$D$49,MATCH($D307,products!$A$1:$A$49,0))</f>
        <v>0.2</v>
      </c>
      <c r="L307" s="5">
        <f>INDEX(products!$E$1:$E$49,MATCH($D307,products!$A$1:$A$49,0))</f>
        <v>4.3650000000000002</v>
      </c>
      <c r="M307" s="5">
        <f t="shared" si="4"/>
        <v>21.825000000000003</v>
      </c>
      <c r="N307" t="str" cm="1">
        <f t="array" ref="N307">_xlfn.IFS(I307="Rob","Robusta",I307="Exc","Excelsa",I307="Ara","Arabica",I307="Lib","Liberica")</f>
        <v>Liberica</v>
      </c>
      <c r="O307" t="str" cm="1">
        <f t="array" ref="O307">_xlfn.SWITCH($J307,"M","Medium","L","Light","D","Dark")</f>
        <v>Medium</v>
      </c>
      <c r="P307" t="str">
        <f>_xlfn.XLOOKUP(Table1[[#This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IF(_xlfn.XLOOKUP(C308,customers!$A$1:$A$1001,customers!$C$1:$C$1001,,0)=0,"Not _Provided",_xlfn.XLOOKUP(C308,customers!$A$1:$A$1001,customers!$C$1:$C$1001,,0))</f>
        <v>jbagot8i@mac.com</v>
      </c>
      <c r="H308" s="2" t="str">
        <f>_xlfn.XLOOKUP(C308,customers!$A$1:$A$1001,customers!$G$1:$G$1001,,0)</f>
        <v>United States</v>
      </c>
      <c r="I308" t="str">
        <f>INDEX(products!$B$1:$B$49,MATCH($D308,products!$A$1:$A$49,0))</f>
        <v>Rob</v>
      </c>
      <c r="J308" t="str">
        <f>INDEX(products!$C$1:$C$49,MATCH($D308,products!$A$1:$A$49,0))</f>
        <v>M</v>
      </c>
      <c r="K308" s="4">
        <f>INDEX(products!$D$1:$D$49,MATCH($D308,products!$A$1:$A$49,0))</f>
        <v>0.2</v>
      </c>
      <c r="L308" s="5">
        <f>INDEX(products!$E$1:$E$49,MATCH($D308,products!$A$1:$A$49,0))</f>
        <v>2.9849999999999999</v>
      </c>
      <c r="M308" s="5">
        <f t="shared" si="4"/>
        <v>14.924999999999999</v>
      </c>
      <c r="N308" t="str" cm="1">
        <f t="array" ref="N308">_xlfn.IFS(I308="Rob","Robusta",I308="Exc","Excelsa",I308="Ara","Arabica",I308="Lib","Liberica")</f>
        <v>Robusta</v>
      </c>
      <c r="O308" t="str" cm="1">
        <f t="array" ref="O308">_xlfn.SWITCH($J308,"M","Medium","L","Light","D","Dark")</f>
        <v>Medium</v>
      </c>
      <c r="P308" t="str">
        <f>_xlfn.XLOOKUP(Table1[[#This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IF(_xlfn.XLOOKUP(C309,customers!$A$1:$A$1001,customers!$C$1:$C$1001,,0)=0,"Not _Provided",_xlfn.XLOOKUP(C309,customers!$A$1:$A$1001,customers!$C$1:$C$1001,,0))</f>
        <v>ebeeble8j@soundcloud.com</v>
      </c>
      <c r="H309" s="2" t="str">
        <f>_xlfn.XLOOKUP(C309,customers!$A$1:$A$1001,customers!$G$1:$G$1001,,0)</f>
        <v>United States</v>
      </c>
      <c r="I309" t="str">
        <f>INDEX(products!$B$1:$B$49,MATCH($D309,products!$A$1:$A$49,0))</f>
        <v>Ara</v>
      </c>
      <c r="J309" t="str">
        <f>INDEX(products!$C$1:$C$49,MATCH($D309,products!$A$1:$A$49,0))</f>
        <v>M</v>
      </c>
      <c r="K309" s="4">
        <f>INDEX(products!$D$1:$D$49,MATCH($D309,products!$A$1:$A$49,0))</f>
        <v>1</v>
      </c>
      <c r="L309" s="5">
        <f>INDEX(products!$E$1:$E$49,MATCH($D309,products!$A$1:$A$49,0))</f>
        <v>11.25</v>
      </c>
      <c r="M309" s="5">
        <f t="shared" si="4"/>
        <v>33.75</v>
      </c>
      <c r="N309" t="str" cm="1">
        <f t="array" ref="N309">_xlfn.IFS(I309="Rob","Robusta",I309="Exc","Excelsa",I309="Ara","Arabica",I309="Lib","Liberica")</f>
        <v>Arabica</v>
      </c>
      <c r="O309" t="str" cm="1">
        <f t="array" ref="O309">_xlfn.SWITCH($J309,"M","Medium","L","Light","D","Dark")</f>
        <v>Medium</v>
      </c>
      <c r="P309" t="str">
        <f>_xlfn.XLOOKUP(Table1[[#This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IF(_xlfn.XLOOKUP(C310,customers!$A$1:$A$1001,customers!$C$1:$C$1001,,0)=0,"Not _Provided",_xlfn.XLOOKUP(C310,customers!$A$1:$A$1001,customers!$C$1:$C$1001,,0))</f>
        <v>cfluin8k@flickr.com</v>
      </c>
      <c r="H310" s="2" t="str">
        <f>_xlfn.XLOOKUP(C310,customers!$A$1:$A$1001,customers!$G$1:$G$1001,,0)</f>
        <v>United Kingdom</v>
      </c>
      <c r="I310" t="str">
        <f>INDEX(products!$B$1:$B$49,MATCH($D310,products!$A$1:$A$49,0))</f>
        <v>Ara</v>
      </c>
      <c r="J310" t="str">
        <f>INDEX(products!$C$1:$C$49,MATCH($D310,products!$A$1:$A$49,0))</f>
        <v>M</v>
      </c>
      <c r="K310" s="4">
        <f>INDEX(products!$D$1:$D$49,MATCH($D310,products!$A$1:$A$49,0))</f>
        <v>1</v>
      </c>
      <c r="L310" s="5">
        <f>INDEX(products!$E$1:$E$49,MATCH($D310,products!$A$1:$A$49,0))</f>
        <v>11.25</v>
      </c>
      <c r="M310" s="5">
        <f t="shared" si="4"/>
        <v>33.75</v>
      </c>
      <c r="N310" t="str" cm="1">
        <f t="array" ref="N310">_xlfn.IFS(I310="Rob","Robusta",I310="Exc","Excelsa",I310="Ara","Arabica",I310="Lib","Liberica")</f>
        <v>Arabica</v>
      </c>
      <c r="O310" t="str" cm="1">
        <f t="array" ref="O310">_xlfn.SWITCH($J310,"M","Medium","L","Light","D","Dark")</f>
        <v>Medium</v>
      </c>
      <c r="P310" t="str">
        <f>_xlfn.XLOOKUP(Table1[[#This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IF(_xlfn.XLOOKUP(C311,customers!$A$1:$A$1001,customers!$C$1:$C$1001,,0)=0,"Not _Provided",_xlfn.XLOOKUP(C311,customers!$A$1:$A$1001,customers!$C$1:$C$1001,,0))</f>
        <v>ebletsor8l@vinaora.com</v>
      </c>
      <c r="H311" s="2" t="str">
        <f>_xlfn.XLOOKUP(C311,customers!$A$1:$A$1001,customers!$G$1:$G$1001,,0)</f>
        <v>United States</v>
      </c>
      <c r="I311" t="str">
        <f>INDEX(products!$B$1:$B$49,MATCH($D311,products!$A$1:$A$49,0))</f>
        <v>Lib</v>
      </c>
      <c r="J311" t="str">
        <f>INDEX(products!$C$1:$C$49,MATCH($D311,products!$A$1:$A$49,0))</f>
        <v>M</v>
      </c>
      <c r="K311" s="4">
        <f>INDEX(products!$D$1:$D$49,MATCH($D311,products!$A$1:$A$49,0))</f>
        <v>0.2</v>
      </c>
      <c r="L311" s="5">
        <f>INDEX(products!$E$1:$E$49,MATCH($D311,products!$A$1:$A$49,0))</f>
        <v>4.3650000000000002</v>
      </c>
      <c r="M311" s="5">
        <f t="shared" si="4"/>
        <v>26.19</v>
      </c>
      <c r="N311" t="str" cm="1">
        <f t="array" ref="N311">_xlfn.IFS(I311="Rob","Robusta",I311="Exc","Excelsa",I311="Ara","Arabica",I311="Lib","Liberica")</f>
        <v>Liberica</v>
      </c>
      <c r="O311" t="str" cm="1">
        <f t="array" ref="O311">_xlfn.SWITCH($J311,"M","Medium","L","Light","D","Dark")</f>
        <v>Medium</v>
      </c>
      <c r="P311" t="str">
        <f>_xlfn.XLOOKUP(Table1[[#This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IF(_xlfn.XLOOKUP(C312,customers!$A$1:$A$1001,customers!$C$1:$C$1001,,0)=0,"Not _Provided",_xlfn.XLOOKUP(C312,customers!$A$1:$A$1001,customers!$C$1:$C$1001,,0))</f>
        <v>pbrydell8m@bloglovin.com</v>
      </c>
      <c r="H312" s="2" t="str">
        <f>_xlfn.XLOOKUP(C312,customers!$A$1:$A$1001,customers!$G$1:$G$1001,,0)</f>
        <v>Ireland</v>
      </c>
      <c r="I312" t="str">
        <f>INDEX(products!$B$1:$B$49,MATCH($D312,products!$A$1:$A$49,0))</f>
        <v>Exc</v>
      </c>
      <c r="J312" t="str">
        <f>INDEX(products!$C$1:$C$49,MATCH($D312,products!$A$1:$A$49,0))</f>
        <v>L</v>
      </c>
      <c r="K312" s="4">
        <f>INDEX(products!$D$1:$D$49,MATCH($D312,products!$A$1:$A$49,0))</f>
        <v>1</v>
      </c>
      <c r="L312" s="5">
        <f>INDEX(products!$E$1:$E$49,MATCH($D312,products!$A$1:$A$49,0))</f>
        <v>14.85</v>
      </c>
      <c r="M312" s="5">
        <f t="shared" si="4"/>
        <v>14.85</v>
      </c>
      <c r="N312" t="str" cm="1">
        <f t="array" ref="N312">_xlfn.IFS(I312="Rob","Robusta",I312="Exc","Excelsa",I312="Ara","Arabica",I312="Lib","Liberica")</f>
        <v>Excelsa</v>
      </c>
      <c r="O312" t="str" cm="1">
        <f t="array" ref="O312">_xlfn.SWITCH($J312,"M","Medium","L","Light","D","Dark")</f>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IF(_xlfn.XLOOKUP(C313,customers!$A$1:$A$1001,customers!$C$1:$C$1001,,0)=0,"Not _Provided",_xlfn.XLOOKUP(C313,customers!$A$1:$A$1001,customers!$C$1:$C$1001,,0))</f>
        <v>crushe8n@about.me</v>
      </c>
      <c r="H313" s="2" t="str">
        <f>_xlfn.XLOOKUP(C313,customers!$A$1:$A$1001,customers!$G$1:$G$1001,,0)</f>
        <v>United States</v>
      </c>
      <c r="I313" t="str">
        <f>INDEX(products!$B$1:$B$49,MATCH($D313,products!$A$1:$A$49,0))</f>
        <v>Exc</v>
      </c>
      <c r="J313" t="str">
        <f>INDEX(products!$C$1:$C$49,MATCH($D313,products!$A$1:$A$49,0))</f>
        <v>M</v>
      </c>
      <c r="K313" s="4">
        <f>INDEX(products!$D$1:$D$49,MATCH($D313,products!$A$1:$A$49,0))</f>
        <v>2.5</v>
      </c>
      <c r="L313" s="5">
        <f>INDEX(products!$E$1:$E$49,MATCH($D313,products!$A$1:$A$49,0))</f>
        <v>31.624999999999996</v>
      </c>
      <c r="M313" s="5">
        <f t="shared" si="4"/>
        <v>189.74999999999997</v>
      </c>
      <c r="N313" t="str" cm="1">
        <f t="array" ref="N313">_xlfn.IFS(I313="Rob","Robusta",I313="Exc","Excelsa",I313="Ara","Arabica",I313="Lib","Liberica")</f>
        <v>Excelsa</v>
      </c>
      <c r="O313" t="str" cm="1">
        <f t="array" ref="O313">_xlfn.SWITCH($J313,"M","Medium","L","Light","D","Dark")</f>
        <v>Medium</v>
      </c>
      <c r="P313" t="str">
        <f>_xlfn.XLOOKUP(Table1[[#This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IF(_xlfn.XLOOKUP(C314,customers!$A$1:$A$1001,customers!$C$1:$C$1001,,0)=0,"Not _Provided",_xlfn.XLOOKUP(C314,customers!$A$1:$A$1001,customers!$C$1:$C$1001,,0))</f>
        <v>nleethem8o@mac.com</v>
      </c>
      <c r="H314" s="2" t="str">
        <f>_xlfn.XLOOKUP(C314,customers!$A$1:$A$1001,customers!$G$1:$G$1001,,0)</f>
        <v>United States</v>
      </c>
      <c r="I314" t="str">
        <f>INDEX(products!$B$1:$B$49,MATCH($D314,products!$A$1:$A$49,0))</f>
        <v>Rob</v>
      </c>
      <c r="J314" t="str">
        <f>INDEX(products!$C$1:$C$49,MATCH($D314,products!$A$1:$A$49,0))</f>
        <v>M</v>
      </c>
      <c r="K314" s="4">
        <f>INDEX(products!$D$1:$D$49,MATCH($D314,products!$A$1:$A$49,0))</f>
        <v>0.5</v>
      </c>
      <c r="L314" s="5">
        <f>INDEX(products!$E$1:$E$49,MATCH($D314,products!$A$1:$A$49,0))</f>
        <v>5.97</v>
      </c>
      <c r="M314" s="5">
        <f t="shared" si="4"/>
        <v>5.97</v>
      </c>
      <c r="N314" t="str" cm="1">
        <f t="array" ref="N314">_xlfn.IFS(I314="Rob","Robusta",I314="Exc","Excelsa",I314="Ara","Arabica",I314="Lib","Liberica")</f>
        <v>Robusta</v>
      </c>
      <c r="O314" t="str" cm="1">
        <f t="array" ref="O314">_xlfn.SWITCH($J314,"M","Medium","L","Light","D","Dark")</f>
        <v>Medium</v>
      </c>
      <c r="P314" t="str">
        <f>_xlfn.XLOOKUP(Table1[[#This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IF(_xlfn.XLOOKUP(C315,customers!$A$1:$A$1001,customers!$C$1:$C$1001,,0)=0,"Not _Provided",_xlfn.XLOOKUP(C315,customers!$A$1:$A$1001,customers!$C$1:$C$1001,,0))</f>
        <v>anesfield8p@people.com.cn</v>
      </c>
      <c r="H315" s="2" t="str">
        <f>_xlfn.XLOOKUP(C315,customers!$A$1:$A$1001,customers!$G$1:$G$1001,,0)</f>
        <v>United Kingdom</v>
      </c>
      <c r="I315" t="str">
        <f>INDEX(products!$B$1:$B$49,MATCH($D315,products!$A$1:$A$49,0))</f>
        <v>Rob</v>
      </c>
      <c r="J315" t="str">
        <f>INDEX(products!$C$1:$C$49,MATCH($D315,products!$A$1:$A$49,0))</f>
        <v>M</v>
      </c>
      <c r="K315" s="4">
        <f>INDEX(products!$D$1:$D$49,MATCH($D315,products!$A$1:$A$49,0))</f>
        <v>1</v>
      </c>
      <c r="L315" s="5">
        <f>INDEX(products!$E$1:$E$49,MATCH($D315,products!$A$1:$A$49,0))</f>
        <v>9.9499999999999993</v>
      </c>
      <c r="M315" s="5">
        <f t="shared" si="4"/>
        <v>29.849999999999998</v>
      </c>
      <c r="N315" t="str" cm="1">
        <f t="array" ref="N315">_xlfn.IFS(I315="Rob","Robusta",I315="Exc","Excelsa",I315="Ara","Arabica",I315="Lib","Liberica")</f>
        <v>Robusta</v>
      </c>
      <c r="O315" t="str" cm="1">
        <f t="array" ref="O315">_xlfn.SWITCH($J315,"M","Medium","L","Light","D","Dark")</f>
        <v>Medium</v>
      </c>
      <c r="P315" t="str">
        <f>_xlfn.XLOOKUP(Table1[[#This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IF(_xlfn.XLOOKUP(C316,customers!$A$1:$A$1001,customers!$C$1:$C$1001,,0)=0,"Not _Provided",_xlfn.XLOOKUP(C316,customers!$A$1:$A$1001,customers!$C$1:$C$1001,,0))</f>
        <v>Not _Provided</v>
      </c>
      <c r="H316" s="2" t="str">
        <f>_xlfn.XLOOKUP(C316,customers!$A$1:$A$1001,customers!$G$1:$G$1001,,0)</f>
        <v>United States</v>
      </c>
      <c r="I316" t="str">
        <f>INDEX(products!$B$1:$B$49,MATCH($D316,products!$A$1:$A$49,0))</f>
        <v>Rob</v>
      </c>
      <c r="J316" t="str">
        <f>INDEX(products!$C$1:$C$49,MATCH($D316,products!$A$1:$A$49,0))</f>
        <v>D</v>
      </c>
      <c r="K316" s="4">
        <f>INDEX(products!$D$1:$D$49,MATCH($D316,products!$A$1:$A$49,0))</f>
        <v>1</v>
      </c>
      <c r="L316" s="5">
        <f>INDEX(products!$E$1:$E$49,MATCH($D316,products!$A$1:$A$49,0))</f>
        <v>8.9499999999999993</v>
      </c>
      <c r="M316" s="5">
        <f t="shared" si="4"/>
        <v>44.75</v>
      </c>
      <c r="N316" t="str" cm="1">
        <f t="array" ref="N316">_xlfn.IFS(I316="Rob","Robusta",I316="Exc","Excelsa",I316="Ara","Arabica",I316="Lib","Liberica")</f>
        <v>Robusta</v>
      </c>
      <c r="O316" t="str" cm="1">
        <f t="array" ref="O316">_xlfn.SWITCH($J316,"M","Medium","L","Light","D","Dark")</f>
        <v>Dark</v>
      </c>
      <c r="P316" t="str">
        <f>_xlfn.XLOOKUP(Table1[[#This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IF(_xlfn.XLOOKUP(C317,customers!$A$1:$A$1001,customers!$C$1:$C$1001,,0)=0,"Not _Provided",_xlfn.XLOOKUP(C317,customers!$A$1:$A$1001,customers!$C$1:$C$1001,,0))</f>
        <v>mbrockway8r@ibm.com</v>
      </c>
      <c r="H317" s="2" t="str">
        <f>_xlfn.XLOOKUP(C317,customers!$A$1:$A$1001,customers!$G$1:$G$1001,,0)</f>
        <v>United States</v>
      </c>
      <c r="I317" t="str">
        <f>INDEX(products!$B$1:$B$49,MATCH($D317,products!$A$1:$A$49,0))</f>
        <v>Exc</v>
      </c>
      <c r="J317" t="str">
        <f>INDEX(products!$C$1:$C$49,MATCH($D317,products!$A$1:$A$49,0))</f>
        <v>L</v>
      </c>
      <c r="K317" s="4">
        <f>INDEX(products!$D$1:$D$49,MATCH($D317,products!$A$1:$A$49,0))</f>
        <v>2.5</v>
      </c>
      <c r="L317" s="5">
        <f>INDEX(products!$E$1:$E$49,MATCH($D317,products!$A$1:$A$49,0))</f>
        <v>34.154999999999994</v>
      </c>
      <c r="M317" s="5">
        <f t="shared" si="4"/>
        <v>34.154999999999994</v>
      </c>
      <c r="N317" t="str" cm="1">
        <f t="array" ref="N317">_xlfn.IFS(I317="Rob","Robusta",I317="Exc","Excelsa",I317="Ara","Arabica",I317="Lib","Liberica")</f>
        <v>Excelsa</v>
      </c>
      <c r="O317" t="str" cm="1">
        <f t="array" ref="O317">_xlfn.SWITCH($J317,"M","Medium","L","Light","D","Dark")</f>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IF(_xlfn.XLOOKUP(C318,customers!$A$1:$A$1001,customers!$C$1:$C$1001,,0)=0,"Not _Provided",_xlfn.XLOOKUP(C318,customers!$A$1:$A$1001,customers!$C$1:$C$1001,,0))</f>
        <v>nlush8s@dedecms.com</v>
      </c>
      <c r="H318" s="2" t="str">
        <f>_xlfn.XLOOKUP(C318,customers!$A$1:$A$1001,customers!$G$1:$G$1001,,0)</f>
        <v>Ireland</v>
      </c>
      <c r="I318" t="str">
        <f>INDEX(products!$B$1:$B$49,MATCH($D318,products!$A$1:$A$49,0))</f>
        <v>Exc</v>
      </c>
      <c r="J318" t="str">
        <f>INDEX(products!$C$1:$C$49,MATCH($D318,products!$A$1:$A$49,0))</f>
        <v>L</v>
      </c>
      <c r="K318" s="4">
        <f>INDEX(products!$D$1:$D$49,MATCH($D318,products!$A$1:$A$49,0))</f>
        <v>2.5</v>
      </c>
      <c r="L318" s="5">
        <f>INDEX(products!$E$1:$E$49,MATCH($D318,products!$A$1:$A$49,0))</f>
        <v>34.154999999999994</v>
      </c>
      <c r="M318" s="5">
        <f t="shared" si="4"/>
        <v>204.92999999999995</v>
      </c>
      <c r="N318" t="str" cm="1">
        <f t="array" ref="N318">_xlfn.IFS(I318="Rob","Robusta",I318="Exc","Excelsa",I318="Ara","Arabica",I318="Lib","Liberica")</f>
        <v>Excelsa</v>
      </c>
      <c r="O318" t="str" cm="1">
        <f t="array" ref="O318">_xlfn.SWITCH($J318,"M","Medium","L","Light","D","Dark")</f>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IF(_xlfn.XLOOKUP(C319,customers!$A$1:$A$1001,customers!$C$1:$C$1001,,0)=0,"Not _Provided",_xlfn.XLOOKUP(C319,customers!$A$1:$A$1001,customers!$C$1:$C$1001,,0))</f>
        <v>smcmillian8t@csmonitor.com</v>
      </c>
      <c r="H319" s="2" t="str">
        <f>_xlfn.XLOOKUP(C319,customers!$A$1:$A$1001,customers!$G$1:$G$1001,,0)</f>
        <v>United States</v>
      </c>
      <c r="I319" t="str">
        <f>INDEX(products!$B$1:$B$49,MATCH($D319,products!$A$1:$A$49,0))</f>
        <v>Exc</v>
      </c>
      <c r="J319" t="str">
        <f>INDEX(products!$C$1:$C$49,MATCH($D319,products!$A$1:$A$49,0))</f>
        <v>D</v>
      </c>
      <c r="K319" s="4">
        <f>INDEX(products!$D$1:$D$49,MATCH($D319,products!$A$1:$A$49,0))</f>
        <v>0.5</v>
      </c>
      <c r="L319" s="5">
        <f>INDEX(products!$E$1:$E$49,MATCH($D319,products!$A$1:$A$49,0))</f>
        <v>7.29</v>
      </c>
      <c r="M319" s="5">
        <f t="shared" si="4"/>
        <v>21.87</v>
      </c>
      <c r="N319" t="str" cm="1">
        <f t="array" ref="N319">_xlfn.IFS(I319="Rob","Robusta",I319="Exc","Excelsa",I319="Ara","Arabica",I319="Lib","Liberica")</f>
        <v>Excelsa</v>
      </c>
      <c r="O319" t="str" cm="1">
        <f t="array" ref="O319">_xlfn.SWITCH($J319,"M","Medium","L","Light","D","Dark")</f>
        <v>Dark</v>
      </c>
      <c r="P319" t="str">
        <f>_xlfn.XLOOKUP(Table1[[#This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IF(_xlfn.XLOOKUP(C320,customers!$A$1:$A$1001,customers!$C$1:$C$1001,,0)=0,"Not _Provided",_xlfn.XLOOKUP(C320,customers!$A$1:$A$1001,customers!$C$1:$C$1001,,0))</f>
        <v>tbennison8u@google.cn</v>
      </c>
      <c r="H320" s="2" t="str">
        <f>_xlfn.XLOOKUP(C320,customers!$A$1:$A$1001,customers!$G$1:$G$1001,,0)</f>
        <v>United States</v>
      </c>
      <c r="I320" t="str">
        <f>INDEX(products!$B$1:$B$49,MATCH($D320,products!$A$1:$A$49,0))</f>
        <v>Ara</v>
      </c>
      <c r="J320" t="str">
        <f>INDEX(products!$C$1:$C$49,MATCH($D320,products!$A$1:$A$49,0))</f>
        <v>M</v>
      </c>
      <c r="K320" s="4">
        <f>INDEX(products!$D$1:$D$49,MATCH($D320,products!$A$1:$A$49,0))</f>
        <v>2.5</v>
      </c>
      <c r="L320" s="5">
        <f>INDEX(products!$E$1:$E$49,MATCH($D320,products!$A$1:$A$49,0))</f>
        <v>25.874999999999996</v>
      </c>
      <c r="M320" s="5">
        <f t="shared" si="4"/>
        <v>51.749999999999993</v>
      </c>
      <c r="N320" t="str" cm="1">
        <f t="array" ref="N320">_xlfn.IFS(I320="Rob","Robusta",I320="Exc","Excelsa",I320="Ara","Arabica",I320="Lib","Liberica")</f>
        <v>Arabica</v>
      </c>
      <c r="O320" t="str" cm="1">
        <f t="array" ref="O320">_xlfn.SWITCH($J320,"M","Medium","L","Light","D","Dark")</f>
        <v>Medium</v>
      </c>
      <c r="P320" t="str">
        <f>_xlfn.XLOOKUP(Table1[[#This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IF(_xlfn.XLOOKUP(C321,customers!$A$1:$A$1001,customers!$C$1:$C$1001,,0)=0,"Not _Provided",_xlfn.XLOOKUP(C321,customers!$A$1:$A$1001,customers!$C$1:$C$1001,,0))</f>
        <v>gtweed8v@yolasite.com</v>
      </c>
      <c r="H321" s="2" t="str">
        <f>_xlfn.XLOOKUP(C321,customers!$A$1:$A$1001,customers!$G$1:$G$1001,,0)</f>
        <v>United States</v>
      </c>
      <c r="I321" t="str">
        <f>INDEX(products!$B$1:$B$49,MATCH($D321,products!$A$1:$A$49,0))</f>
        <v>Exc</v>
      </c>
      <c r="J321" t="str">
        <f>INDEX(products!$C$1:$C$49,MATCH($D321,products!$A$1:$A$49,0))</f>
        <v>M</v>
      </c>
      <c r="K321" s="4">
        <f>INDEX(products!$D$1:$D$49,MATCH($D321,products!$A$1:$A$49,0))</f>
        <v>0.2</v>
      </c>
      <c r="L321" s="5">
        <f>INDEX(products!$E$1:$E$49,MATCH($D321,products!$A$1:$A$49,0))</f>
        <v>4.125</v>
      </c>
      <c r="M321" s="5">
        <f t="shared" si="4"/>
        <v>8.25</v>
      </c>
      <c r="N321" t="str" cm="1">
        <f t="array" ref="N321">_xlfn.IFS(I321="Rob","Robusta",I321="Exc","Excelsa",I321="Ara","Arabica",I321="Lib","Liberica")</f>
        <v>Excelsa</v>
      </c>
      <c r="O321" t="str" cm="1">
        <f t="array" ref="O321">_xlfn.SWITCH($J321,"M","Medium","L","Light","D","Dark")</f>
        <v>Medium</v>
      </c>
      <c r="P321" t="str">
        <f>_xlfn.XLOOKUP(Table1[[#This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IF(_xlfn.XLOOKUP(C322,customers!$A$1:$A$1001,customers!$C$1:$C$1001,,0)=0,"Not _Provided",_xlfn.XLOOKUP(C322,customers!$A$1:$A$1001,customers!$C$1:$C$1001,,0))</f>
        <v>gtweed8v@yolasite.com</v>
      </c>
      <c r="H322" s="2" t="str">
        <f>_xlfn.XLOOKUP(C322,customers!$A$1:$A$1001,customers!$G$1:$G$1001,,0)</f>
        <v>United States</v>
      </c>
      <c r="I322" t="str">
        <f>INDEX(products!$B$1:$B$49,MATCH($D322,products!$A$1:$A$49,0))</f>
        <v>Ara</v>
      </c>
      <c r="J322" t="str">
        <f>INDEX(products!$C$1:$C$49,MATCH($D322,products!$A$1:$A$49,0))</f>
        <v>L</v>
      </c>
      <c r="K322" s="4">
        <f>INDEX(products!$D$1:$D$49,MATCH($D322,products!$A$1:$A$49,0))</f>
        <v>0.2</v>
      </c>
      <c r="L322" s="5">
        <f>INDEX(products!$E$1:$E$49,MATCH($D322,products!$A$1:$A$49,0))</f>
        <v>3.8849999999999998</v>
      </c>
      <c r="M322" s="5">
        <f t="shared" si="4"/>
        <v>19.424999999999997</v>
      </c>
      <c r="N322" t="str" cm="1">
        <f t="array" ref="N322">_xlfn.IFS(I322="Rob","Robusta",I322="Exc","Excelsa",I322="Ara","Arabica",I322="Lib","Liberica")</f>
        <v>Arabica</v>
      </c>
      <c r="O322" t="str" cm="1">
        <f t="array" ref="O322">_xlfn.SWITCH($J322,"M","Medium","L","Light","D","Dark")</f>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IF(_xlfn.XLOOKUP(C323,customers!$A$1:$A$1001,customers!$C$1:$C$1001,,0)=0,"Not _Provided",_xlfn.XLOOKUP(C323,customers!$A$1:$A$1001,customers!$C$1:$C$1001,,0))</f>
        <v>ggoggin8x@wix.com</v>
      </c>
      <c r="H323" s="2" t="str">
        <f>_xlfn.XLOOKUP(C323,customers!$A$1:$A$1001,customers!$G$1:$G$1001,,0)</f>
        <v>Ireland</v>
      </c>
      <c r="I323" t="str">
        <f>INDEX(products!$B$1:$B$49,MATCH($D323,products!$A$1:$A$49,0))</f>
        <v>Ara</v>
      </c>
      <c r="J323" t="str">
        <f>INDEX(products!$C$1:$C$49,MATCH($D323,products!$A$1:$A$49,0))</f>
        <v>M</v>
      </c>
      <c r="K323" s="4">
        <f>INDEX(products!$D$1:$D$49,MATCH($D323,products!$A$1:$A$49,0))</f>
        <v>0.2</v>
      </c>
      <c r="L323" s="5">
        <f>INDEX(products!$E$1:$E$49,MATCH($D323,products!$A$1:$A$49,0))</f>
        <v>3.375</v>
      </c>
      <c r="M323" s="5">
        <f t="shared" ref="M323:M386" si="5">E323*L323</f>
        <v>20.25</v>
      </c>
      <c r="N323" t="str" cm="1">
        <f t="array" ref="N323">_xlfn.IFS(I323="Rob","Robusta",I323="Exc","Excelsa",I323="Ara","Arabica",I323="Lib","Liberica")</f>
        <v>Arabica</v>
      </c>
      <c r="O323" t="str" cm="1">
        <f t="array" ref="O323">_xlfn.SWITCH($J323,"M","Medium","L","Light","D","Dark")</f>
        <v>Medium</v>
      </c>
      <c r="P323" t="str">
        <f>_xlfn.XLOOKUP(Table1[[#This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IF(_xlfn.XLOOKUP(C324,customers!$A$1:$A$1001,customers!$C$1:$C$1001,,0)=0,"Not _Provided",_xlfn.XLOOKUP(C324,customers!$A$1:$A$1001,customers!$C$1:$C$1001,,0))</f>
        <v>sjeyness8y@biglobe.ne.jp</v>
      </c>
      <c r="H324" s="2" t="str">
        <f>_xlfn.XLOOKUP(C324,customers!$A$1:$A$1001,customers!$G$1:$G$1001,,0)</f>
        <v>Ireland</v>
      </c>
      <c r="I324" t="str">
        <f>INDEX(products!$B$1:$B$49,MATCH($D324,products!$A$1:$A$49,0))</f>
        <v>Lib</v>
      </c>
      <c r="J324" t="str">
        <f>INDEX(products!$C$1:$C$49,MATCH($D324,products!$A$1:$A$49,0))</f>
        <v>D</v>
      </c>
      <c r="K324" s="4">
        <f>INDEX(products!$D$1:$D$49,MATCH($D324,products!$A$1:$A$49,0))</f>
        <v>0.5</v>
      </c>
      <c r="L324" s="5">
        <f>INDEX(products!$E$1:$E$49,MATCH($D324,products!$A$1:$A$49,0))</f>
        <v>7.77</v>
      </c>
      <c r="M324" s="5">
        <f t="shared" si="5"/>
        <v>23.31</v>
      </c>
      <c r="N324" t="str" cm="1">
        <f t="array" ref="N324">_xlfn.IFS(I324="Rob","Robusta",I324="Exc","Excelsa",I324="Ara","Arabica",I324="Lib","Liberica")</f>
        <v>Liberica</v>
      </c>
      <c r="O324" t="str" cm="1">
        <f t="array" ref="O324">_xlfn.SWITCH($J324,"M","Medium","L","Light","D","Dark")</f>
        <v>Dark</v>
      </c>
      <c r="P324" t="str">
        <f>_xlfn.XLOOKUP(Table1[[#This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IF(_xlfn.XLOOKUP(C325,customers!$A$1:$A$1001,customers!$C$1:$C$1001,,0)=0,"Not _Provided",_xlfn.XLOOKUP(C325,customers!$A$1:$A$1001,customers!$C$1:$C$1001,,0))</f>
        <v>dbonhome8z@shinystat.com</v>
      </c>
      <c r="H325" s="2" t="str">
        <f>_xlfn.XLOOKUP(C325,customers!$A$1:$A$1001,customers!$G$1:$G$1001,,0)</f>
        <v>United States</v>
      </c>
      <c r="I325" t="str">
        <f>INDEX(products!$B$1:$B$49,MATCH($D325,products!$A$1:$A$49,0))</f>
        <v>Exc</v>
      </c>
      <c r="J325" t="str">
        <f>INDEX(products!$C$1:$C$49,MATCH($D325,products!$A$1:$A$49,0))</f>
        <v>D</v>
      </c>
      <c r="K325" s="4">
        <f>INDEX(products!$D$1:$D$49,MATCH($D325,products!$A$1:$A$49,0))</f>
        <v>0.2</v>
      </c>
      <c r="L325" s="5">
        <f>INDEX(products!$E$1:$E$49,MATCH($D325,products!$A$1:$A$49,0))</f>
        <v>3.645</v>
      </c>
      <c r="M325" s="5">
        <f t="shared" si="5"/>
        <v>18.225000000000001</v>
      </c>
      <c r="N325" t="str" cm="1">
        <f t="array" ref="N325">_xlfn.IFS(I325="Rob","Robusta",I325="Exc","Excelsa",I325="Ara","Arabica",I325="Lib","Liberica")</f>
        <v>Excelsa</v>
      </c>
      <c r="O325" t="str" cm="1">
        <f t="array" ref="O325">_xlfn.SWITCH($J325,"M","Medium","L","Light","D","Dark")</f>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IF(_xlfn.XLOOKUP(C326,customers!$A$1:$A$1001,customers!$C$1:$C$1001,,0)=0,"Not _Provided",_xlfn.XLOOKUP(C326,customers!$A$1:$A$1001,customers!$C$1:$C$1001,,0))</f>
        <v>Not _Provided</v>
      </c>
      <c r="H326" s="2" t="str">
        <f>_xlfn.XLOOKUP(C326,customers!$A$1:$A$1001,customers!$G$1:$G$1001,,0)</f>
        <v>United States</v>
      </c>
      <c r="I326" t="str">
        <f>INDEX(products!$B$1:$B$49,MATCH($D326,products!$A$1:$A$49,0))</f>
        <v>Exc</v>
      </c>
      <c r="J326" t="str">
        <f>INDEX(products!$C$1:$C$49,MATCH($D326,products!$A$1:$A$49,0))</f>
        <v>M</v>
      </c>
      <c r="K326" s="4">
        <f>INDEX(products!$D$1:$D$49,MATCH($D326,products!$A$1:$A$49,0))</f>
        <v>1</v>
      </c>
      <c r="L326" s="5">
        <f>INDEX(products!$E$1:$E$49,MATCH($D326,products!$A$1:$A$49,0))</f>
        <v>13.75</v>
      </c>
      <c r="M326" s="5">
        <f t="shared" si="5"/>
        <v>13.75</v>
      </c>
      <c r="N326" t="str" cm="1">
        <f t="array" ref="N326">_xlfn.IFS(I326="Rob","Robusta",I326="Exc","Excelsa",I326="Ara","Arabica",I326="Lib","Liberica")</f>
        <v>Excelsa</v>
      </c>
      <c r="O326" t="str" cm="1">
        <f t="array" ref="O326">_xlfn.SWITCH($J326,"M","Medium","L","Light","D","Dark")</f>
        <v>Medium</v>
      </c>
      <c r="P326" t="str">
        <f>_xlfn.XLOOKUP(Table1[[#This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IF(_xlfn.XLOOKUP(C327,customers!$A$1:$A$1001,customers!$C$1:$C$1001,,0)=0,"Not _Provided",_xlfn.XLOOKUP(C327,customers!$A$1:$A$1001,customers!$C$1:$C$1001,,0))</f>
        <v>tle91@epa.gov</v>
      </c>
      <c r="H327" s="2" t="str">
        <f>_xlfn.XLOOKUP(C327,customers!$A$1:$A$1001,customers!$G$1:$G$1001,,0)</f>
        <v>United States</v>
      </c>
      <c r="I327" t="str">
        <f>INDEX(products!$B$1:$B$49,MATCH($D327,products!$A$1:$A$49,0))</f>
        <v>Ara</v>
      </c>
      <c r="J327" t="str">
        <f>INDEX(products!$C$1:$C$49,MATCH($D327,products!$A$1:$A$49,0))</f>
        <v>L</v>
      </c>
      <c r="K327" s="4">
        <f>INDEX(products!$D$1:$D$49,MATCH($D327,products!$A$1:$A$49,0))</f>
        <v>2.5</v>
      </c>
      <c r="L327" s="5">
        <f>INDEX(products!$E$1:$E$49,MATCH($D327,products!$A$1:$A$49,0))</f>
        <v>29.784999999999997</v>
      </c>
      <c r="M327" s="5">
        <f t="shared" si="5"/>
        <v>29.784999999999997</v>
      </c>
      <c r="N327" t="str" cm="1">
        <f t="array" ref="N327">_xlfn.IFS(I327="Rob","Robusta",I327="Exc","Excelsa",I327="Ara","Arabica",I327="Lib","Liberica")</f>
        <v>Arabica</v>
      </c>
      <c r="O327" t="str" cm="1">
        <f t="array" ref="O327">_xlfn.SWITCH($J327,"M","Medium","L","Light","D","Dark")</f>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IF(_xlfn.XLOOKUP(C328,customers!$A$1:$A$1001,customers!$C$1:$C$1001,,0)=0,"Not _Provided",_xlfn.XLOOKUP(C328,customers!$A$1:$A$1001,customers!$C$1:$C$1001,,0))</f>
        <v>Not _Provided</v>
      </c>
      <c r="H328" s="2" t="str">
        <f>_xlfn.XLOOKUP(C328,customers!$A$1:$A$1001,customers!$G$1:$G$1001,,0)</f>
        <v>United States</v>
      </c>
      <c r="I328" t="str">
        <f>INDEX(products!$B$1:$B$49,MATCH($D328,products!$A$1:$A$49,0))</f>
        <v>Rob</v>
      </c>
      <c r="J328" t="str">
        <f>INDEX(products!$C$1:$C$49,MATCH($D328,products!$A$1:$A$49,0))</f>
        <v>D</v>
      </c>
      <c r="K328" s="4">
        <f>INDEX(products!$D$1:$D$49,MATCH($D328,products!$A$1:$A$49,0))</f>
        <v>1</v>
      </c>
      <c r="L328" s="5">
        <f>INDEX(products!$E$1:$E$49,MATCH($D328,products!$A$1:$A$49,0))</f>
        <v>8.9499999999999993</v>
      </c>
      <c r="M328" s="5">
        <f t="shared" si="5"/>
        <v>44.75</v>
      </c>
      <c r="N328" t="str" cm="1">
        <f t="array" ref="N328">_xlfn.IFS(I328="Rob","Robusta",I328="Exc","Excelsa",I328="Ara","Arabica",I328="Lib","Liberica")</f>
        <v>Robusta</v>
      </c>
      <c r="O328" t="str" cm="1">
        <f t="array" ref="O328">_xlfn.SWITCH($J328,"M","Medium","L","Light","D","Dark")</f>
        <v>Dark</v>
      </c>
      <c r="P328" t="str">
        <f>_xlfn.XLOOKUP(Table1[[#This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IF(_xlfn.XLOOKUP(C329,customers!$A$1:$A$1001,customers!$C$1:$C$1001,,0)=0,"Not _Provided",_xlfn.XLOOKUP(C329,customers!$A$1:$A$1001,customers!$C$1:$C$1001,,0))</f>
        <v>balldridge93@yandex.ru</v>
      </c>
      <c r="H329" s="2" t="str">
        <f>_xlfn.XLOOKUP(C329,customers!$A$1:$A$1001,customers!$G$1:$G$1001,,0)</f>
        <v>United States</v>
      </c>
      <c r="I329" t="str">
        <f>INDEX(products!$B$1:$B$49,MATCH($D329,products!$A$1:$A$49,0))</f>
        <v>Rob</v>
      </c>
      <c r="J329" t="str">
        <f>INDEX(products!$C$1:$C$49,MATCH($D329,products!$A$1:$A$49,0))</f>
        <v>D</v>
      </c>
      <c r="K329" s="4">
        <f>INDEX(products!$D$1:$D$49,MATCH($D329,products!$A$1:$A$49,0))</f>
        <v>1</v>
      </c>
      <c r="L329" s="5">
        <f>INDEX(products!$E$1:$E$49,MATCH($D329,products!$A$1:$A$49,0))</f>
        <v>8.9499999999999993</v>
      </c>
      <c r="M329" s="5">
        <f t="shared" si="5"/>
        <v>44.75</v>
      </c>
      <c r="N329" t="str" cm="1">
        <f t="array" ref="N329">_xlfn.IFS(I329="Rob","Robusta",I329="Exc","Excelsa",I329="Ara","Arabica",I329="Lib","Liberica")</f>
        <v>Robusta</v>
      </c>
      <c r="O329" t="str" cm="1">
        <f t="array" ref="O329">_xlfn.SWITCH($J329,"M","Medium","L","Light","D","Dark")</f>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IF(_xlfn.XLOOKUP(C330,customers!$A$1:$A$1001,customers!$C$1:$C$1001,,0)=0,"Not _Provided",_xlfn.XLOOKUP(C330,customers!$A$1:$A$1001,customers!$C$1:$C$1001,,0))</f>
        <v>Not _Provided</v>
      </c>
      <c r="H330" s="2" t="str">
        <f>_xlfn.XLOOKUP(C330,customers!$A$1:$A$1001,customers!$G$1:$G$1001,,0)</f>
        <v>United States</v>
      </c>
      <c r="I330" t="str">
        <f>INDEX(products!$B$1:$B$49,MATCH($D330,products!$A$1:$A$49,0))</f>
        <v>Lib</v>
      </c>
      <c r="J330" t="str">
        <f>INDEX(products!$C$1:$C$49,MATCH($D330,products!$A$1:$A$49,0))</f>
        <v>L</v>
      </c>
      <c r="K330" s="4">
        <f>INDEX(products!$D$1:$D$49,MATCH($D330,products!$A$1:$A$49,0))</f>
        <v>0.5</v>
      </c>
      <c r="L330" s="5">
        <f>INDEX(products!$E$1:$E$49,MATCH($D330,products!$A$1:$A$49,0))</f>
        <v>9.51</v>
      </c>
      <c r="M330" s="5">
        <f t="shared" si="5"/>
        <v>38.04</v>
      </c>
      <c r="N330" t="str" cm="1">
        <f t="array" ref="N330">_xlfn.IFS(I330="Rob","Robusta",I330="Exc","Excelsa",I330="Ara","Arabica",I330="Lib","Liberica")</f>
        <v>Liberica</v>
      </c>
      <c r="O330" t="str" cm="1">
        <f t="array" ref="O330">_xlfn.SWITCH($J330,"M","Medium","L","Light","D","Dark")</f>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IF(_xlfn.XLOOKUP(C331,customers!$A$1:$A$1001,customers!$C$1:$C$1001,,0)=0,"Not _Provided",_xlfn.XLOOKUP(C331,customers!$A$1:$A$1001,customers!$C$1:$C$1001,,0))</f>
        <v>lgoodger95@guardian.co.uk</v>
      </c>
      <c r="H331" s="2" t="str">
        <f>_xlfn.XLOOKUP(C331,customers!$A$1:$A$1001,customers!$G$1:$G$1001,,0)</f>
        <v>United States</v>
      </c>
      <c r="I331" t="str">
        <f>INDEX(products!$B$1:$B$49,MATCH($D331,products!$A$1:$A$49,0))</f>
        <v>Rob</v>
      </c>
      <c r="J331" t="str">
        <f>INDEX(products!$C$1:$C$49,MATCH($D331,products!$A$1:$A$49,0))</f>
        <v>D</v>
      </c>
      <c r="K331" s="4">
        <f>INDEX(products!$D$1:$D$49,MATCH($D331,products!$A$1:$A$49,0))</f>
        <v>0.5</v>
      </c>
      <c r="L331" s="5">
        <f>INDEX(products!$E$1:$E$49,MATCH($D331,products!$A$1:$A$49,0))</f>
        <v>5.3699999999999992</v>
      </c>
      <c r="M331" s="5">
        <f t="shared" si="5"/>
        <v>21.479999999999997</v>
      </c>
      <c r="N331" t="str" cm="1">
        <f t="array" ref="N331">_xlfn.IFS(I331="Rob","Robusta",I331="Exc","Excelsa",I331="Ara","Arabica",I331="Lib","Liberica")</f>
        <v>Robusta</v>
      </c>
      <c r="O331" t="str" cm="1">
        <f t="array" ref="O331">_xlfn.SWITCH($J331,"M","Medium","L","Light","D","Dark")</f>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IF(_xlfn.XLOOKUP(C332,customers!$A$1:$A$1001,customers!$C$1:$C$1001,,0)=0,"Not _Provided",_xlfn.XLOOKUP(C332,customers!$A$1:$A$1001,customers!$C$1:$C$1001,,0))</f>
        <v>smcmillian8t@csmonitor.com</v>
      </c>
      <c r="H332" s="2" t="str">
        <f>_xlfn.XLOOKUP(C332,customers!$A$1:$A$1001,customers!$G$1:$G$1001,,0)</f>
        <v>United States</v>
      </c>
      <c r="I332" t="str">
        <f>INDEX(products!$B$1:$B$49,MATCH($D332,products!$A$1:$A$49,0))</f>
        <v>Rob</v>
      </c>
      <c r="J332" t="str">
        <f>INDEX(products!$C$1:$C$49,MATCH($D332,products!$A$1:$A$49,0))</f>
        <v>D</v>
      </c>
      <c r="K332" s="4">
        <f>INDEX(products!$D$1:$D$49,MATCH($D332,products!$A$1:$A$49,0))</f>
        <v>0.5</v>
      </c>
      <c r="L332" s="5">
        <f>INDEX(products!$E$1:$E$49,MATCH($D332,products!$A$1:$A$49,0))</f>
        <v>5.3699999999999992</v>
      </c>
      <c r="M332" s="5">
        <f t="shared" si="5"/>
        <v>16.11</v>
      </c>
      <c r="N332" t="str" cm="1">
        <f t="array" ref="N332">_xlfn.IFS(I332="Rob","Robusta",I332="Exc","Excelsa",I332="Ara","Arabica",I332="Lib","Liberica")</f>
        <v>Robusta</v>
      </c>
      <c r="O332" t="str" cm="1">
        <f t="array" ref="O332">_xlfn.SWITCH($J332,"M","Medium","L","Light","D","Dark")</f>
        <v>Dark</v>
      </c>
      <c r="P332" t="str">
        <f>_xlfn.XLOOKUP(Table1[[#This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IF(_xlfn.XLOOKUP(C333,customers!$A$1:$A$1001,customers!$C$1:$C$1001,,0)=0,"Not _Provided",_xlfn.XLOOKUP(C333,customers!$A$1:$A$1001,customers!$C$1:$C$1001,,0))</f>
        <v>cdrewett97@wikipedia.org</v>
      </c>
      <c r="H333" s="2" t="str">
        <f>_xlfn.XLOOKUP(C333,customers!$A$1:$A$1001,customers!$G$1:$G$1001,,0)</f>
        <v>United States</v>
      </c>
      <c r="I333" t="str">
        <f>INDEX(products!$B$1:$B$49,MATCH($D333,products!$A$1:$A$49,0))</f>
        <v>Rob</v>
      </c>
      <c r="J333" t="str">
        <f>INDEX(products!$C$1:$C$49,MATCH($D333,products!$A$1:$A$49,0))</f>
        <v>M</v>
      </c>
      <c r="K333" s="4">
        <f>INDEX(products!$D$1:$D$49,MATCH($D333,products!$A$1:$A$49,0))</f>
        <v>2.5</v>
      </c>
      <c r="L333" s="5">
        <f>INDEX(products!$E$1:$E$49,MATCH($D333,products!$A$1:$A$49,0))</f>
        <v>22.884999999999998</v>
      </c>
      <c r="M333" s="5">
        <f t="shared" si="5"/>
        <v>22.884999999999998</v>
      </c>
      <c r="N333" t="str" cm="1">
        <f t="array" ref="N333">_xlfn.IFS(I333="Rob","Robusta",I333="Exc","Excelsa",I333="Ara","Arabica",I333="Lib","Liberica")</f>
        <v>Robusta</v>
      </c>
      <c r="O333" t="str" cm="1">
        <f t="array" ref="O333">_xlfn.SWITCH($J333,"M","Medium","L","Light","D","Dark")</f>
        <v>Medium</v>
      </c>
      <c r="P333" t="str">
        <f>_xlfn.XLOOKUP(Table1[[#This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IF(_xlfn.XLOOKUP(C334,customers!$A$1:$A$1001,customers!$C$1:$C$1001,,0)=0,"Not _Provided",_xlfn.XLOOKUP(C334,customers!$A$1:$A$1001,customers!$C$1:$C$1001,,0))</f>
        <v>qparsons98@blogtalkradio.com</v>
      </c>
      <c r="H334" s="2" t="str">
        <f>_xlfn.XLOOKUP(C334,customers!$A$1:$A$1001,customers!$G$1:$G$1001,,0)</f>
        <v>United States</v>
      </c>
      <c r="I334" t="str">
        <f>INDEX(products!$B$1:$B$49,MATCH($D334,products!$A$1:$A$49,0))</f>
        <v>Ara</v>
      </c>
      <c r="J334" t="str">
        <f>INDEX(products!$C$1:$C$49,MATCH($D334,products!$A$1:$A$49,0))</f>
        <v>D</v>
      </c>
      <c r="K334" s="4">
        <f>INDEX(products!$D$1:$D$49,MATCH($D334,products!$A$1:$A$49,0))</f>
        <v>0.5</v>
      </c>
      <c r="L334" s="5">
        <f>INDEX(products!$E$1:$E$49,MATCH($D334,products!$A$1:$A$49,0))</f>
        <v>5.97</v>
      </c>
      <c r="M334" s="5">
        <f t="shared" si="5"/>
        <v>17.91</v>
      </c>
      <c r="N334" t="str" cm="1">
        <f t="array" ref="N334">_xlfn.IFS(I334="Rob","Robusta",I334="Exc","Excelsa",I334="Ara","Arabica",I334="Lib","Liberica")</f>
        <v>Arabica</v>
      </c>
      <c r="O334" t="str" cm="1">
        <f t="array" ref="O334">_xlfn.SWITCH($J334,"M","Medium","L","Light","D","Dark")</f>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IF(_xlfn.XLOOKUP(C335,customers!$A$1:$A$1001,customers!$C$1:$C$1001,,0)=0,"Not _Provided",_xlfn.XLOOKUP(C335,customers!$A$1:$A$1001,customers!$C$1:$C$1001,,0))</f>
        <v>vceely99@auda.org.au</v>
      </c>
      <c r="H335" s="2" t="str">
        <f>_xlfn.XLOOKUP(C335,customers!$A$1:$A$1001,customers!$G$1:$G$1001,,0)</f>
        <v>United States</v>
      </c>
      <c r="I335" t="str">
        <f>INDEX(products!$B$1:$B$49,MATCH($D335,products!$A$1:$A$49,0))</f>
        <v>Rob</v>
      </c>
      <c r="J335" t="str">
        <f>INDEX(products!$C$1:$C$49,MATCH($D335,products!$A$1:$A$49,0))</f>
        <v>M</v>
      </c>
      <c r="K335" s="4">
        <f>INDEX(products!$D$1:$D$49,MATCH($D335,products!$A$1:$A$49,0))</f>
        <v>0.5</v>
      </c>
      <c r="L335" s="5">
        <f>INDEX(products!$E$1:$E$49,MATCH($D335,products!$A$1:$A$49,0))</f>
        <v>5.97</v>
      </c>
      <c r="M335" s="5">
        <f t="shared" si="5"/>
        <v>23.88</v>
      </c>
      <c r="N335" t="str" cm="1">
        <f t="array" ref="N335">_xlfn.IFS(I335="Rob","Robusta",I335="Exc","Excelsa",I335="Ara","Arabica",I335="Lib","Liberica")</f>
        <v>Robusta</v>
      </c>
      <c r="O335" t="str" cm="1">
        <f t="array" ref="O335">_xlfn.SWITCH($J335,"M","Medium","L","Light","D","Dark")</f>
        <v>Medium</v>
      </c>
      <c r="P335" t="str">
        <f>_xlfn.XLOOKUP(Table1[[#This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IF(_xlfn.XLOOKUP(C336,customers!$A$1:$A$1001,customers!$C$1:$C$1001,,0)=0,"Not _Provided",_xlfn.XLOOKUP(C336,customers!$A$1:$A$1001,customers!$C$1:$C$1001,,0))</f>
        <v>Not _Provided</v>
      </c>
      <c r="H336" s="2" t="str">
        <f>_xlfn.XLOOKUP(C336,customers!$A$1:$A$1001,customers!$G$1:$G$1001,,0)</f>
        <v>United States</v>
      </c>
      <c r="I336" t="str">
        <f>INDEX(products!$B$1:$B$49,MATCH($D336,products!$A$1:$A$49,0))</f>
        <v>Rob</v>
      </c>
      <c r="J336" t="str">
        <f>INDEX(products!$C$1:$C$49,MATCH($D336,products!$A$1:$A$49,0))</f>
        <v>L</v>
      </c>
      <c r="K336" s="4">
        <f>INDEX(products!$D$1:$D$49,MATCH($D336,products!$A$1:$A$49,0))</f>
        <v>1</v>
      </c>
      <c r="L336" s="5">
        <f>INDEX(products!$E$1:$E$49,MATCH($D336,products!$A$1:$A$49,0))</f>
        <v>11.95</v>
      </c>
      <c r="M336" s="5">
        <f t="shared" si="5"/>
        <v>59.75</v>
      </c>
      <c r="N336" t="str" cm="1">
        <f t="array" ref="N336">_xlfn.IFS(I336="Rob","Robusta",I336="Exc","Excelsa",I336="Ara","Arabica",I336="Lib","Liberica")</f>
        <v>Robusta</v>
      </c>
      <c r="O336" t="str" cm="1">
        <f t="array" ref="O336">_xlfn.SWITCH($J336,"M","Medium","L","Light","D","Dark")</f>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IF(_xlfn.XLOOKUP(C337,customers!$A$1:$A$1001,customers!$C$1:$C$1001,,0)=0,"Not _Provided",_xlfn.XLOOKUP(C337,customers!$A$1:$A$1001,customers!$C$1:$C$1001,,0))</f>
        <v>cvasiliev9b@discuz.net</v>
      </c>
      <c r="H337" s="2" t="str">
        <f>_xlfn.XLOOKUP(C337,customers!$A$1:$A$1001,customers!$G$1:$G$1001,,0)</f>
        <v>United States</v>
      </c>
      <c r="I337" t="str">
        <f>INDEX(products!$B$1:$B$49,MATCH($D337,products!$A$1:$A$49,0))</f>
        <v>Lib</v>
      </c>
      <c r="J337" t="str">
        <f>INDEX(products!$C$1:$C$49,MATCH($D337,products!$A$1:$A$49,0))</f>
        <v>L</v>
      </c>
      <c r="K337" s="4">
        <f>INDEX(products!$D$1:$D$49,MATCH($D337,products!$A$1:$A$49,0))</f>
        <v>0.2</v>
      </c>
      <c r="L337" s="5">
        <f>INDEX(products!$E$1:$E$49,MATCH($D337,products!$A$1:$A$49,0))</f>
        <v>4.7549999999999999</v>
      </c>
      <c r="M337" s="5">
        <f t="shared" si="5"/>
        <v>28.53</v>
      </c>
      <c r="N337" t="str" cm="1">
        <f t="array" ref="N337">_xlfn.IFS(I337="Rob","Robusta",I337="Exc","Excelsa",I337="Ara","Arabica",I337="Lib","Liberica")</f>
        <v>Liberica</v>
      </c>
      <c r="O337" t="str" cm="1">
        <f t="array" ref="O337">_xlfn.SWITCH($J337,"M","Medium","L","Light","D","Dark")</f>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IF(_xlfn.XLOOKUP(C338,customers!$A$1:$A$1001,customers!$C$1:$C$1001,,0)=0,"Not _Provided",_xlfn.XLOOKUP(C338,customers!$A$1:$A$1001,customers!$C$1:$C$1001,,0))</f>
        <v>tomoylan9c@liveinternet.ru</v>
      </c>
      <c r="H338" s="2" t="str">
        <f>_xlfn.XLOOKUP(C338,customers!$A$1:$A$1001,customers!$G$1:$G$1001,,0)</f>
        <v>United Kingdom</v>
      </c>
      <c r="I338" t="str">
        <f>INDEX(products!$B$1:$B$49,MATCH($D338,products!$A$1:$A$49,0))</f>
        <v>Ara</v>
      </c>
      <c r="J338" t="str">
        <f>INDEX(products!$C$1:$C$49,MATCH($D338,products!$A$1:$A$49,0))</f>
        <v>M</v>
      </c>
      <c r="K338" s="4">
        <f>INDEX(products!$D$1:$D$49,MATCH($D338,products!$A$1:$A$49,0))</f>
        <v>1</v>
      </c>
      <c r="L338" s="5">
        <f>INDEX(products!$E$1:$E$49,MATCH($D338,products!$A$1:$A$49,0))</f>
        <v>11.25</v>
      </c>
      <c r="M338" s="5">
        <f t="shared" si="5"/>
        <v>45</v>
      </c>
      <c r="N338" t="str" cm="1">
        <f t="array" ref="N338">_xlfn.IFS(I338="Rob","Robusta",I338="Exc","Excelsa",I338="Ara","Arabica",I338="Lib","Liberica")</f>
        <v>Arabica</v>
      </c>
      <c r="O338" t="str" cm="1">
        <f t="array" ref="O338">_xlfn.SWITCH($J338,"M","Medium","L","Light","D","Dark")</f>
        <v>Medium</v>
      </c>
      <c r="P338" t="str">
        <f>_xlfn.XLOOKUP(Table1[[#This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IF(_xlfn.XLOOKUP(C339,customers!$A$1:$A$1001,customers!$C$1:$C$1001,,0)=0,"Not _Provided",_xlfn.XLOOKUP(C339,customers!$A$1:$A$1001,customers!$C$1:$C$1001,,0))</f>
        <v>Not _Provided</v>
      </c>
      <c r="H339" s="2" t="str">
        <f>_xlfn.XLOOKUP(C339,customers!$A$1:$A$1001,customers!$G$1:$G$1001,,0)</f>
        <v>United States</v>
      </c>
      <c r="I339" t="str">
        <f>INDEX(products!$B$1:$B$49,MATCH($D339,products!$A$1:$A$49,0))</f>
        <v>Exc</v>
      </c>
      <c r="J339" t="str">
        <f>INDEX(products!$C$1:$C$49,MATCH($D339,products!$A$1:$A$49,0))</f>
        <v>D</v>
      </c>
      <c r="K339" s="4">
        <f>INDEX(products!$D$1:$D$49,MATCH($D339,products!$A$1:$A$49,0))</f>
        <v>2.5</v>
      </c>
      <c r="L339" s="5">
        <f>INDEX(products!$E$1:$E$49,MATCH($D339,products!$A$1:$A$49,0))</f>
        <v>27.945</v>
      </c>
      <c r="M339" s="5">
        <f t="shared" si="5"/>
        <v>55.89</v>
      </c>
      <c r="N339" t="str" cm="1">
        <f t="array" ref="N339">_xlfn.IFS(I339="Rob","Robusta",I339="Exc","Excelsa",I339="Ara","Arabica",I339="Lib","Liberica")</f>
        <v>Excelsa</v>
      </c>
      <c r="O339" t="str" cm="1">
        <f t="array" ref="O339">_xlfn.SWITCH($J339,"M","Medium","L","Light","D","Dark")</f>
        <v>Dark</v>
      </c>
      <c r="P339" t="str">
        <f>_xlfn.XLOOKUP(Table1[[#This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IF(_xlfn.XLOOKUP(C340,customers!$A$1:$A$1001,customers!$C$1:$C$1001,,0)=0,"Not _Provided",_xlfn.XLOOKUP(C340,customers!$A$1:$A$1001,customers!$C$1:$C$1001,,0))</f>
        <v>wfetherston9e@constantcontact.com</v>
      </c>
      <c r="H340" s="2" t="str">
        <f>_xlfn.XLOOKUP(C340,customers!$A$1:$A$1001,customers!$G$1:$G$1001,,0)</f>
        <v>United States</v>
      </c>
      <c r="I340" t="str">
        <f>INDEX(products!$B$1:$B$49,MATCH($D340,products!$A$1:$A$49,0))</f>
        <v>Exc</v>
      </c>
      <c r="J340" t="str">
        <f>INDEX(products!$C$1:$C$49,MATCH($D340,products!$A$1:$A$49,0))</f>
        <v>L</v>
      </c>
      <c r="K340" s="4">
        <f>INDEX(products!$D$1:$D$49,MATCH($D340,products!$A$1:$A$49,0))</f>
        <v>1</v>
      </c>
      <c r="L340" s="5">
        <f>INDEX(products!$E$1:$E$49,MATCH($D340,products!$A$1:$A$49,0))</f>
        <v>14.85</v>
      </c>
      <c r="M340" s="5">
        <f t="shared" si="5"/>
        <v>59.4</v>
      </c>
      <c r="N340" t="str" cm="1">
        <f t="array" ref="N340">_xlfn.IFS(I340="Rob","Robusta",I340="Exc","Excelsa",I340="Ara","Arabica",I340="Lib","Liberica")</f>
        <v>Excelsa</v>
      </c>
      <c r="O340" t="str" cm="1">
        <f t="array" ref="O340">_xlfn.SWITCH($J340,"M","Medium","L","Light","D","Dark")</f>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IF(_xlfn.XLOOKUP(C341,customers!$A$1:$A$1001,customers!$C$1:$C$1001,,0)=0,"Not _Provided",_xlfn.XLOOKUP(C341,customers!$A$1:$A$1001,customers!$C$1:$C$1001,,0))</f>
        <v>erasmus9f@techcrunch.com</v>
      </c>
      <c r="H341" s="2" t="str">
        <f>_xlfn.XLOOKUP(C341,customers!$A$1:$A$1001,customers!$G$1:$G$1001,,0)</f>
        <v>United States</v>
      </c>
      <c r="I341" t="str">
        <f>INDEX(products!$B$1:$B$49,MATCH($D341,products!$A$1:$A$49,0))</f>
        <v>Exc</v>
      </c>
      <c r="J341" t="str">
        <f>INDEX(products!$C$1:$C$49,MATCH($D341,products!$A$1:$A$49,0))</f>
        <v>D</v>
      </c>
      <c r="K341" s="4">
        <f>INDEX(products!$D$1:$D$49,MATCH($D341,products!$A$1:$A$49,0))</f>
        <v>0.2</v>
      </c>
      <c r="L341" s="5">
        <f>INDEX(products!$E$1:$E$49,MATCH($D341,products!$A$1:$A$49,0))</f>
        <v>3.645</v>
      </c>
      <c r="M341" s="5">
        <f t="shared" si="5"/>
        <v>7.29</v>
      </c>
      <c r="N341" t="str" cm="1">
        <f t="array" ref="N341">_xlfn.IFS(I341="Rob","Robusta",I341="Exc","Excelsa",I341="Ara","Arabica",I341="Lib","Liberica")</f>
        <v>Excelsa</v>
      </c>
      <c r="O341" t="str" cm="1">
        <f t="array" ref="O341">_xlfn.SWITCH($J341,"M","Medium","L","Light","D","Dark")</f>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IF(_xlfn.XLOOKUP(C342,customers!$A$1:$A$1001,customers!$C$1:$C$1001,,0)=0,"Not _Provided",_xlfn.XLOOKUP(C342,customers!$A$1:$A$1001,customers!$C$1:$C$1001,,0))</f>
        <v>wgiorgioni9g@wikipedia.org</v>
      </c>
      <c r="H342" s="2" t="str">
        <f>_xlfn.XLOOKUP(C342,customers!$A$1:$A$1001,customers!$G$1:$G$1001,,0)</f>
        <v>United States</v>
      </c>
      <c r="I342" t="str">
        <f>INDEX(products!$B$1:$B$49,MATCH($D342,products!$A$1:$A$49,0))</f>
        <v>Exc</v>
      </c>
      <c r="J342" t="str">
        <f>INDEX(products!$C$1:$C$49,MATCH($D342,products!$A$1:$A$49,0))</f>
        <v>D</v>
      </c>
      <c r="K342" s="4">
        <f>INDEX(products!$D$1:$D$49,MATCH($D342,products!$A$1:$A$49,0))</f>
        <v>0.5</v>
      </c>
      <c r="L342" s="5">
        <f>INDEX(products!$E$1:$E$49,MATCH($D342,products!$A$1:$A$49,0))</f>
        <v>7.29</v>
      </c>
      <c r="M342" s="5">
        <f t="shared" si="5"/>
        <v>7.29</v>
      </c>
      <c r="N342" t="str" cm="1">
        <f t="array" ref="N342">_xlfn.IFS(I342="Rob","Robusta",I342="Exc","Excelsa",I342="Ara","Arabica",I342="Lib","Liberica")</f>
        <v>Excelsa</v>
      </c>
      <c r="O342" t="str" cm="1">
        <f t="array" ref="O342">_xlfn.SWITCH($J342,"M","Medium","L","Light","D","Dark")</f>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IF(_xlfn.XLOOKUP(C343,customers!$A$1:$A$1001,customers!$C$1:$C$1001,,0)=0,"Not _Provided",_xlfn.XLOOKUP(C343,customers!$A$1:$A$1001,customers!$C$1:$C$1001,,0))</f>
        <v>lscargle9h@myspace.com</v>
      </c>
      <c r="H343" s="2" t="str">
        <f>_xlfn.XLOOKUP(C343,customers!$A$1:$A$1001,customers!$G$1:$G$1001,,0)</f>
        <v>United States</v>
      </c>
      <c r="I343" t="str">
        <f>INDEX(products!$B$1:$B$49,MATCH($D343,products!$A$1:$A$49,0))</f>
        <v>Exc</v>
      </c>
      <c r="J343" t="str">
        <f>INDEX(products!$C$1:$C$49,MATCH($D343,products!$A$1:$A$49,0))</f>
        <v>L</v>
      </c>
      <c r="K343" s="4">
        <f>INDEX(products!$D$1:$D$49,MATCH($D343,products!$A$1:$A$49,0))</f>
        <v>0.5</v>
      </c>
      <c r="L343" s="5">
        <f>INDEX(products!$E$1:$E$49,MATCH($D343,products!$A$1:$A$49,0))</f>
        <v>8.91</v>
      </c>
      <c r="M343" s="5">
        <f t="shared" si="5"/>
        <v>17.82</v>
      </c>
      <c r="N343" t="str" cm="1">
        <f t="array" ref="N343">_xlfn.IFS(I343="Rob","Robusta",I343="Exc","Excelsa",I343="Ara","Arabica",I343="Lib","Liberica")</f>
        <v>Excelsa</v>
      </c>
      <c r="O343" t="str" cm="1">
        <f t="array" ref="O343">_xlfn.SWITCH($J343,"M","Medium","L","Light","D","Dark")</f>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IF(_xlfn.XLOOKUP(C344,customers!$A$1:$A$1001,customers!$C$1:$C$1001,,0)=0,"Not _Provided",_xlfn.XLOOKUP(C344,customers!$A$1:$A$1001,customers!$C$1:$C$1001,,0))</f>
        <v>lscargle9h@myspace.com</v>
      </c>
      <c r="H344" s="2" t="str">
        <f>_xlfn.XLOOKUP(C344,customers!$A$1:$A$1001,customers!$G$1:$G$1001,,0)</f>
        <v>United States</v>
      </c>
      <c r="I344" t="str">
        <f>INDEX(products!$B$1:$B$49,MATCH($D344,products!$A$1:$A$49,0))</f>
        <v>Lib</v>
      </c>
      <c r="J344" t="str">
        <f>INDEX(products!$C$1:$C$49,MATCH($D344,products!$A$1:$A$49,0))</f>
        <v>D</v>
      </c>
      <c r="K344" s="4">
        <f>INDEX(products!$D$1:$D$49,MATCH($D344,products!$A$1:$A$49,0))</f>
        <v>0.5</v>
      </c>
      <c r="L344" s="5">
        <f>INDEX(products!$E$1:$E$49,MATCH($D344,products!$A$1:$A$49,0))</f>
        <v>7.77</v>
      </c>
      <c r="M344" s="5">
        <f t="shared" si="5"/>
        <v>38.849999999999994</v>
      </c>
      <c r="N344" t="str" cm="1">
        <f t="array" ref="N344">_xlfn.IFS(I344="Rob","Robusta",I344="Exc","Excelsa",I344="Ara","Arabica",I344="Lib","Liberica")</f>
        <v>Liberica</v>
      </c>
      <c r="O344" t="str" cm="1">
        <f t="array" ref="O344">_xlfn.SWITCH($J344,"M","Medium","L","Light","D","Dark")</f>
        <v>Dark</v>
      </c>
      <c r="P344" t="str">
        <f>_xlfn.XLOOKUP(Table1[[#This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IF(_xlfn.XLOOKUP(C345,customers!$A$1:$A$1001,customers!$C$1:$C$1001,,0)=0,"Not _Provided",_xlfn.XLOOKUP(C345,customers!$A$1:$A$1001,customers!$C$1:$C$1001,,0))</f>
        <v>nclimance9j@europa.eu</v>
      </c>
      <c r="H345" s="2" t="str">
        <f>_xlfn.XLOOKUP(C345,customers!$A$1:$A$1001,customers!$G$1:$G$1001,,0)</f>
        <v>United States</v>
      </c>
      <c r="I345" t="str">
        <f>INDEX(products!$B$1:$B$49,MATCH($D345,products!$A$1:$A$49,0))</f>
        <v>Rob</v>
      </c>
      <c r="J345" t="str">
        <f>INDEX(products!$C$1:$C$49,MATCH($D345,products!$A$1:$A$49,0))</f>
        <v>D</v>
      </c>
      <c r="K345" s="4">
        <f>INDEX(products!$D$1:$D$49,MATCH($D345,products!$A$1:$A$49,0))</f>
        <v>0.5</v>
      </c>
      <c r="L345" s="5">
        <f>INDEX(products!$E$1:$E$49,MATCH($D345,products!$A$1:$A$49,0))</f>
        <v>5.3699999999999992</v>
      </c>
      <c r="M345" s="5">
        <f t="shared" si="5"/>
        <v>32.22</v>
      </c>
      <c r="N345" t="str" cm="1">
        <f t="array" ref="N345">_xlfn.IFS(I345="Rob","Robusta",I345="Exc","Excelsa",I345="Ara","Arabica",I345="Lib","Liberica")</f>
        <v>Robusta</v>
      </c>
      <c r="O345" t="str" cm="1">
        <f t="array" ref="O345">_xlfn.SWITCH($J345,"M","Medium","L","Light","D","Dark")</f>
        <v>Dark</v>
      </c>
      <c r="P345" t="str">
        <f>_xlfn.XLOOKUP(Table1[[#This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IF(_xlfn.XLOOKUP(C346,customers!$A$1:$A$1001,customers!$C$1:$C$1001,,0)=0,"Not _Provided",_xlfn.XLOOKUP(C346,customers!$A$1:$A$1001,customers!$C$1:$C$1001,,0))</f>
        <v>Not _Provided</v>
      </c>
      <c r="H346" s="2" t="str">
        <f>_xlfn.XLOOKUP(C346,customers!$A$1:$A$1001,customers!$G$1:$G$1001,,0)</f>
        <v>Ireland</v>
      </c>
      <c r="I346" t="str">
        <f>INDEX(products!$B$1:$B$49,MATCH($D346,products!$A$1:$A$49,0))</f>
        <v>Rob</v>
      </c>
      <c r="J346" t="str">
        <f>INDEX(products!$C$1:$C$49,MATCH($D346,products!$A$1:$A$49,0))</f>
        <v>M</v>
      </c>
      <c r="K346" s="4">
        <f>INDEX(products!$D$1:$D$49,MATCH($D346,products!$A$1:$A$49,0))</f>
        <v>1</v>
      </c>
      <c r="L346" s="5">
        <f>INDEX(products!$E$1:$E$49,MATCH($D346,products!$A$1:$A$49,0))</f>
        <v>9.9499999999999993</v>
      </c>
      <c r="M346" s="5">
        <f t="shared" si="5"/>
        <v>19.899999999999999</v>
      </c>
      <c r="N346" t="str" cm="1">
        <f t="array" ref="N346">_xlfn.IFS(I346="Rob","Robusta",I346="Exc","Excelsa",I346="Ara","Arabica",I346="Lib","Liberica")</f>
        <v>Robusta</v>
      </c>
      <c r="O346" t="str" cm="1">
        <f t="array" ref="O346">_xlfn.SWITCH($J346,"M","Medium","L","Light","D","Dark")</f>
        <v>Medium</v>
      </c>
      <c r="P346" t="str">
        <f>_xlfn.XLOOKUP(Table1[[#This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IF(_xlfn.XLOOKUP(C347,customers!$A$1:$A$1001,customers!$C$1:$C$1001,,0)=0,"Not _Provided",_xlfn.XLOOKUP(C347,customers!$A$1:$A$1001,customers!$C$1:$C$1001,,0))</f>
        <v>asnazle9l@oracle.com</v>
      </c>
      <c r="H347" s="2" t="str">
        <f>_xlfn.XLOOKUP(C347,customers!$A$1:$A$1001,customers!$G$1:$G$1001,,0)</f>
        <v>United States</v>
      </c>
      <c r="I347" t="str">
        <f>INDEX(products!$B$1:$B$49,MATCH($D347,products!$A$1:$A$49,0))</f>
        <v>Rob</v>
      </c>
      <c r="J347" t="str">
        <f>INDEX(products!$C$1:$C$49,MATCH($D347,products!$A$1:$A$49,0))</f>
        <v>L</v>
      </c>
      <c r="K347" s="4">
        <f>INDEX(products!$D$1:$D$49,MATCH($D347,products!$A$1:$A$49,0))</f>
        <v>1</v>
      </c>
      <c r="L347" s="5">
        <f>INDEX(products!$E$1:$E$49,MATCH($D347,products!$A$1:$A$49,0))</f>
        <v>11.95</v>
      </c>
      <c r="M347" s="5">
        <f t="shared" si="5"/>
        <v>59.75</v>
      </c>
      <c r="N347" t="str" cm="1">
        <f t="array" ref="N347">_xlfn.IFS(I347="Rob","Robusta",I347="Exc","Excelsa",I347="Ara","Arabica",I347="Lib","Liberica")</f>
        <v>Robusta</v>
      </c>
      <c r="O347" t="str" cm="1">
        <f t="array" ref="O347">_xlfn.SWITCH($J347,"M","Medium","L","Light","D","Dark")</f>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IF(_xlfn.XLOOKUP(C348,customers!$A$1:$A$1001,customers!$C$1:$C$1001,,0)=0,"Not _Provided",_xlfn.XLOOKUP(C348,customers!$A$1:$A$1001,customers!$C$1:$C$1001,,0))</f>
        <v>rworg9m@arstechnica.com</v>
      </c>
      <c r="H348" s="2" t="str">
        <f>_xlfn.XLOOKUP(C348,customers!$A$1:$A$1001,customers!$G$1:$G$1001,,0)</f>
        <v>United States</v>
      </c>
      <c r="I348" t="str">
        <f>INDEX(products!$B$1:$B$49,MATCH($D348,products!$A$1:$A$49,0))</f>
        <v>Ara</v>
      </c>
      <c r="J348" t="str">
        <f>INDEX(products!$C$1:$C$49,MATCH($D348,products!$A$1:$A$49,0))</f>
        <v>L</v>
      </c>
      <c r="K348" s="4">
        <f>INDEX(products!$D$1:$D$49,MATCH($D348,products!$A$1:$A$49,0))</f>
        <v>0.5</v>
      </c>
      <c r="L348" s="5">
        <f>INDEX(products!$E$1:$E$49,MATCH($D348,products!$A$1:$A$49,0))</f>
        <v>7.77</v>
      </c>
      <c r="M348" s="5">
        <f t="shared" si="5"/>
        <v>23.31</v>
      </c>
      <c r="N348" t="str" cm="1">
        <f t="array" ref="N348">_xlfn.IFS(I348="Rob","Robusta",I348="Exc","Excelsa",I348="Ara","Arabica",I348="Lib","Liberica")</f>
        <v>Arabica</v>
      </c>
      <c r="O348" t="str" cm="1">
        <f t="array" ref="O348">_xlfn.SWITCH($J348,"M","Medium","L","Light","D","Dark")</f>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IF(_xlfn.XLOOKUP(C349,customers!$A$1:$A$1001,customers!$C$1:$C$1001,,0)=0,"Not _Provided",_xlfn.XLOOKUP(C349,customers!$A$1:$A$1001,customers!$C$1:$C$1001,,0))</f>
        <v>ldanes9n@umn.edu</v>
      </c>
      <c r="H349" s="2" t="str">
        <f>_xlfn.XLOOKUP(C349,customers!$A$1:$A$1001,customers!$G$1:$G$1001,,0)</f>
        <v>United States</v>
      </c>
      <c r="I349" t="str">
        <f>INDEX(products!$B$1:$B$49,MATCH($D349,products!$A$1:$A$49,0))</f>
        <v>Lib</v>
      </c>
      <c r="J349" t="str">
        <f>INDEX(products!$C$1:$C$49,MATCH($D349,products!$A$1:$A$49,0))</f>
        <v>M</v>
      </c>
      <c r="K349" s="4">
        <f>INDEX(products!$D$1:$D$49,MATCH($D349,products!$A$1:$A$49,0))</f>
        <v>1</v>
      </c>
      <c r="L349" s="5">
        <f>INDEX(products!$E$1:$E$49,MATCH($D349,products!$A$1:$A$49,0))</f>
        <v>14.55</v>
      </c>
      <c r="M349" s="5">
        <f t="shared" si="5"/>
        <v>43.650000000000006</v>
      </c>
      <c r="N349" t="str" cm="1">
        <f t="array" ref="N349">_xlfn.IFS(I349="Rob","Robusta",I349="Exc","Excelsa",I349="Ara","Arabica",I349="Lib","Liberica")</f>
        <v>Liberica</v>
      </c>
      <c r="O349" t="str" cm="1">
        <f t="array" ref="O349">_xlfn.SWITCH($J349,"M","Medium","L","Light","D","Dark")</f>
        <v>Medium</v>
      </c>
      <c r="P349" t="str">
        <f>_xlfn.XLOOKUP(Table1[[#This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IF(_xlfn.XLOOKUP(C350,customers!$A$1:$A$1001,customers!$C$1:$C$1001,,0)=0,"Not _Provided",_xlfn.XLOOKUP(C350,customers!$A$1:$A$1001,customers!$C$1:$C$1001,,0))</f>
        <v>skeynd9o@narod.ru</v>
      </c>
      <c r="H350" s="2" t="str">
        <f>_xlfn.XLOOKUP(C350,customers!$A$1:$A$1001,customers!$G$1:$G$1001,,0)</f>
        <v>United States</v>
      </c>
      <c r="I350" t="str">
        <f>INDEX(products!$B$1:$B$49,MATCH($D350,products!$A$1:$A$49,0))</f>
        <v>Exc</v>
      </c>
      <c r="J350" t="str">
        <f>INDEX(products!$C$1:$C$49,MATCH($D350,products!$A$1:$A$49,0))</f>
        <v>L</v>
      </c>
      <c r="K350" s="4">
        <f>INDEX(products!$D$1:$D$49,MATCH($D350,products!$A$1:$A$49,0))</f>
        <v>2.5</v>
      </c>
      <c r="L350" s="5">
        <f>INDEX(products!$E$1:$E$49,MATCH($D350,products!$A$1:$A$49,0))</f>
        <v>34.154999999999994</v>
      </c>
      <c r="M350" s="5">
        <f t="shared" si="5"/>
        <v>204.92999999999995</v>
      </c>
      <c r="N350" t="str" cm="1">
        <f t="array" ref="N350">_xlfn.IFS(I350="Rob","Robusta",I350="Exc","Excelsa",I350="Ara","Arabica",I350="Lib","Liberica")</f>
        <v>Excelsa</v>
      </c>
      <c r="O350" t="str" cm="1">
        <f t="array" ref="O350">_xlfn.SWITCH($J350,"M","Medium","L","Light","D","Dark")</f>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IF(_xlfn.XLOOKUP(C351,customers!$A$1:$A$1001,customers!$C$1:$C$1001,,0)=0,"Not _Provided",_xlfn.XLOOKUP(C351,customers!$A$1:$A$1001,customers!$C$1:$C$1001,,0))</f>
        <v>ddaveridge9p@arstechnica.com</v>
      </c>
      <c r="H351" s="2" t="str">
        <f>_xlfn.XLOOKUP(C351,customers!$A$1:$A$1001,customers!$G$1:$G$1001,,0)</f>
        <v>United States</v>
      </c>
      <c r="I351" t="str">
        <f>INDEX(products!$B$1:$B$49,MATCH($D351,products!$A$1:$A$49,0))</f>
        <v>Rob</v>
      </c>
      <c r="J351" t="str">
        <f>INDEX(products!$C$1:$C$49,MATCH($D351,products!$A$1:$A$49,0))</f>
        <v>L</v>
      </c>
      <c r="K351" s="4">
        <f>INDEX(products!$D$1:$D$49,MATCH($D351,products!$A$1:$A$49,0))</f>
        <v>0.2</v>
      </c>
      <c r="L351" s="5">
        <f>INDEX(products!$E$1:$E$49,MATCH($D351,products!$A$1:$A$49,0))</f>
        <v>3.5849999999999995</v>
      </c>
      <c r="M351" s="5">
        <f t="shared" si="5"/>
        <v>14.339999999999998</v>
      </c>
      <c r="N351" t="str" cm="1">
        <f t="array" ref="N351">_xlfn.IFS(I351="Rob","Robusta",I351="Exc","Excelsa",I351="Ara","Arabica",I351="Lib","Liberica")</f>
        <v>Robusta</v>
      </c>
      <c r="O351" t="str" cm="1">
        <f t="array" ref="O351">_xlfn.SWITCH($J351,"M","Medium","L","Light","D","Dark")</f>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IF(_xlfn.XLOOKUP(C352,customers!$A$1:$A$1001,customers!$C$1:$C$1001,,0)=0,"Not _Provided",_xlfn.XLOOKUP(C352,customers!$A$1:$A$1001,customers!$C$1:$C$1001,,0))</f>
        <v>jawdry9q@utexas.edu</v>
      </c>
      <c r="H352" s="2" t="str">
        <f>_xlfn.XLOOKUP(C352,customers!$A$1:$A$1001,customers!$G$1:$G$1001,,0)</f>
        <v>United States</v>
      </c>
      <c r="I352" t="str">
        <f>INDEX(products!$B$1:$B$49,MATCH($D352,products!$A$1:$A$49,0))</f>
        <v>Ara</v>
      </c>
      <c r="J352" t="str">
        <f>INDEX(products!$C$1:$C$49,MATCH($D352,products!$A$1:$A$49,0))</f>
        <v>D</v>
      </c>
      <c r="K352" s="4">
        <f>INDEX(products!$D$1:$D$49,MATCH($D352,products!$A$1:$A$49,0))</f>
        <v>0.5</v>
      </c>
      <c r="L352" s="5">
        <f>INDEX(products!$E$1:$E$49,MATCH($D352,products!$A$1:$A$49,0))</f>
        <v>5.97</v>
      </c>
      <c r="M352" s="5">
        <f t="shared" si="5"/>
        <v>23.88</v>
      </c>
      <c r="N352" t="str" cm="1">
        <f t="array" ref="N352">_xlfn.IFS(I352="Rob","Robusta",I352="Exc","Excelsa",I352="Ara","Arabica",I352="Lib","Liberica")</f>
        <v>Arabica</v>
      </c>
      <c r="O352" t="str" cm="1">
        <f t="array" ref="O352">_xlfn.SWITCH($J352,"M","Medium","L","Light","D","Dark")</f>
        <v>Dark</v>
      </c>
      <c r="P352" t="str">
        <f>_xlfn.XLOOKUP(Table1[[#This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IF(_xlfn.XLOOKUP(C353,customers!$A$1:$A$1001,customers!$C$1:$C$1001,,0)=0,"Not _Provided",_xlfn.XLOOKUP(C353,customers!$A$1:$A$1001,customers!$C$1:$C$1001,,0))</f>
        <v>eryles9r@fastcompany.com</v>
      </c>
      <c r="H353" s="2" t="str">
        <f>_xlfn.XLOOKUP(C353,customers!$A$1:$A$1001,customers!$G$1:$G$1001,,0)</f>
        <v>United States</v>
      </c>
      <c r="I353" t="str">
        <f>INDEX(products!$B$1:$B$49,MATCH($D353,products!$A$1:$A$49,0))</f>
        <v>Ara</v>
      </c>
      <c r="J353" t="str">
        <f>INDEX(products!$C$1:$C$49,MATCH($D353,products!$A$1:$A$49,0))</f>
        <v>M</v>
      </c>
      <c r="K353" s="4">
        <f>INDEX(products!$D$1:$D$49,MATCH($D353,products!$A$1:$A$49,0))</f>
        <v>1</v>
      </c>
      <c r="L353" s="5">
        <f>INDEX(products!$E$1:$E$49,MATCH($D353,products!$A$1:$A$49,0))</f>
        <v>11.25</v>
      </c>
      <c r="M353" s="5">
        <f t="shared" si="5"/>
        <v>22.5</v>
      </c>
      <c r="N353" t="str" cm="1">
        <f t="array" ref="N353">_xlfn.IFS(I353="Rob","Robusta",I353="Exc","Excelsa",I353="Ara","Arabica",I353="Lib","Liberica")</f>
        <v>Arabica</v>
      </c>
      <c r="O353" t="str" cm="1">
        <f t="array" ref="O353">_xlfn.SWITCH($J353,"M","Medium","L","Light","D","Dark")</f>
        <v>Medium</v>
      </c>
      <c r="P353" t="str">
        <f>_xlfn.XLOOKUP(Table1[[#This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IF(_xlfn.XLOOKUP(C354,customers!$A$1:$A$1001,customers!$C$1:$C$1001,,0)=0,"Not _Provided",_xlfn.XLOOKUP(C354,customers!$A$1:$A$1001,customers!$C$1:$C$1001,,0))</f>
        <v>Not _Provided</v>
      </c>
      <c r="H354" s="2" t="str">
        <f>_xlfn.XLOOKUP(C354,customers!$A$1:$A$1001,customers!$G$1:$G$1001,,0)</f>
        <v>United States</v>
      </c>
      <c r="I354" t="str">
        <f>INDEX(products!$B$1:$B$49,MATCH($D354,products!$A$1:$A$49,0))</f>
        <v>Exc</v>
      </c>
      <c r="J354" t="str">
        <f>INDEX(products!$C$1:$C$49,MATCH($D354,products!$A$1:$A$49,0))</f>
        <v>D</v>
      </c>
      <c r="K354" s="4">
        <f>INDEX(products!$D$1:$D$49,MATCH($D354,products!$A$1:$A$49,0))</f>
        <v>0.5</v>
      </c>
      <c r="L354" s="5">
        <f>INDEX(products!$E$1:$E$49,MATCH($D354,products!$A$1:$A$49,0))</f>
        <v>7.29</v>
      </c>
      <c r="M354" s="5">
        <f t="shared" si="5"/>
        <v>36.450000000000003</v>
      </c>
      <c r="N354" t="str" cm="1">
        <f t="array" ref="N354">_xlfn.IFS(I354="Rob","Robusta",I354="Exc","Excelsa",I354="Ara","Arabica",I354="Lib","Liberica")</f>
        <v>Excelsa</v>
      </c>
      <c r="O354" t="str" cm="1">
        <f t="array" ref="O354">_xlfn.SWITCH($J354,"M","Medium","L","Light","D","Dark")</f>
        <v>Dark</v>
      </c>
      <c r="P354" t="str">
        <f>_xlfn.XLOOKUP(Table1[[#This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IF(_xlfn.XLOOKUP(C355,customers!$A$1:$A$1001,customers!$C$1:$C$1001,,0)=0,"Not _Provided",_xlfn.XLOOKUP(C355,customers!$A$1:$A$1001,customers!$C$1:$C$1001,,0))</f>
        <v>Not _Provided</v>
      </c>
      <c r="H355" s="2" t="str">
        <f>_xlfn.XLOOKUP(C355,customers!$A$1:$A$1001,customers!$G$1:$G$1001,,0)</f>
        <v>United States</v>
      </c>
      <c r="I355" t="str">
        <f>INDEX(products!$B$1:$B$49,MATCH($D355,products!$A$1:$A$49,0))</f>
        <v>Ara</v>
      </c>
      <c r="J355" t="str">
        <f>INDEX(products!$C$1:$C$49,MATCH($D355,products!$A$1:$A$49,0))</f>
        <v>M</v>
      </c>
      <c r="K355" s="4">
        <f>INDEX(products!$D$1:$D$49,MATCH($D355,products!$A$1:$A$49,0))</f>
        <v>0.5</v>
      </c>
      <c r="L355" s="5">
        <f>INDEX(products!$E$1:$E$49,MATCH($D355,products!$A$1:$A$49,0))</f>
        <v>6.75</v>
      </c>
      <c r="M355" s="5">
        <f t="shared" si="5"/>
        <v>27</v>
      </c>
      <c r="N355" t="str" cm="1">
        <f t="array" ref="N355">_xlfn.IFS(I355="Rob","Robusta",I355="Exc","Excelsa",I355="Ara","Arabica",I355="Lib","Liberica")</f>
        <v>Arabica</v>
      </c>
      <c r="O355" t="str" cm="1">
        <f t="array" ref="O355">_xlfn.SWITCH($J355,"M","Medium","L","Light","D","Dark")</f>
        <v>Medium</v>
      </c>
      <c r="P355" t="str">
        <f>_xlfn.XLOOKUP(Table1[[#This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IF(_xlfn.XLOOKUP(C356,customers!$A$1:$A$1001,customers!$C$1:$C$1001,,0)=0,"Not _Provided",_xlfn.XLOOKUP(C356,customers!$A$1:$A$1001,customers!$C$1:$C$1001,,0))</f>
        <v>jcaldicott9u@usda.gov</v>
      </c>
      <c r="H356" s="2" t="str">
        <f>_xlfn.XLOOKUP(C356,customers!$A$1:$A$1001,customers!$G$1:$G$1001,,0)</f>
        <v>United States</v>
      </c>
      <c r="I356" t="str">
        <f>INDEX(products!$B$1:$B$49,MATCH($D356,products!$A$1:$A$49,0))</f>
        <v>Ara</v>
      </c>
      <c r="J356" t="str">
        <f>INDEX(products!$C$1:$C$49,MATCH($D356,products!$A$1:$A$49,0))</f>
        <v>M</v>
      </c>
      <c r="K356" s="4">
        <f>INDEX(products!$D$1:$D$49,MATCH($D356,products!$A$1:$A$49,0))</f>
        <v>2.5</v>
      </c>
      <c r="L356" s="5">
        <f>INDEX(products!$E$1:$E$49,MATCH($D356,products!$A$1:$A$49,0))</f>
        <v>25.874999999999996</v>
      </c>
      <c r="M356" s="5">
        <f t="shared" si="5"/>
        <v>155.24999999999997</v>
      </c>
      <c r="N356" t="str" cm="1">
        <f t="array" ref="N356">_xlfn.IFS(I356="Rob","Robusta",I356="Exc","Excelsa",I356="Ara","Arabica",I356="Lib","Liberica")</f>
        <v>Arabica</v>
      </c>
      <c r="O356" t="str" cm="1">
        <f t="array" ref="O356">_xlfn.SWITCH($J356,"M","Medium","L","Light","D","Dark")</f>
        <v>Medium</v>
      </c>
      <c r="P356" t="str">
        <f>_xlfn.XLOOKUP(Table1[[#This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IF(_xlfn.XLOOKUP(C357,customers!$A$1:$A$1001,customers!$C$1:$C$1001,,0)=0,"Not _Provided",_xlfn.XLOOKUP(C357,customers!$A$1:$A$1001,customers!$C$1:$C$1001,,0))</f>
        <v>mvedmore9v@a8.net</v>
      </c>
      <c r="H357" s="2" t="str">
        <f>_xlfn.XLOOKUP(C357,customers!$A$1:$A$1001,customers!$G$1:$G$1001,,0)</f>
        <v>United States</v>
      </c>
      <c r="I357" t="str">
        <f>INDEX(products!$B$1:$B$49,MATCH($D357,products!$A$1:$A$49,0))</f>
        <v>Ara</v>
      </c>
      <c r="J357" t="str">
        <f>INDEX(products!$C$1:$C$49,MATCH($D357,products!$A$1:$A$49,0))</f>
        <v>D</v>
      </c>
      <c r="K357" s="4">
        <f>INDEX(products!$D$1:$D$49,MATCH($D357,products!$A$1:$A$49,0))</f>
        <v>2.5</v>
      </c>
      <c r="L357" s="5">
        <f>INDEX(products!$E$1:$E$49,MATCH($D357,products!$A$1:$A$49,0))</f>
        <v>22.884999999999998</v>
      </c>
      <c r="M357" s="5">
        <f t="shared" si="5"/>
        <v>114.42499999999998</v>
      </c>
      <c r="N357" t="str" cm="1">
        <f t="array" ref="N357">_xlfn.IFS(I357="Rob","Robusta",I357="Exc","Excelsa",I357="Ara","Arabica",I357="Lib","Liberica")</f>
        <v>Arabica</v>
      </c>
      <c r="O357" t="str" cm="1">
        <f t="array" ref="O357">_xlfn.SWITCH($J357,"M","Medium","L","Light","D","Dark")</f>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IF(_xlfn.XLOOKUP(C358,customers!$A$1:$A$1001,customers!$C$1:$C$1001,,0)=0,"Not _Provided",_xlfn.XLOOKUP(C358,customers!$A$1:$A$1001,customers!$C$1:$C$1001,,0))</f>
        <v>wromao9w@chronoengine.com</v>
      </c>
      <c r="H358" s="2" t="str">
        <f>_xlfn.XLOOKUP(C358,customers!$A$1:$A$1001,customers!$G$1:$G$1001,,0)</f>
        <v>United States</v>
      </c>
      <c r="I358" t="str">
        <f>INDEX(products!$B$1:$B$49,MATCH($D358,products!$A$1:$A$49,0))</f>
        <v>Lib</v>
      </c>
      <c r="J358" t="str">
        <f>INDEX(products!$C$1:$C$49,MATCH($D358,products!$A$1:$A$49,0))</f>
        <v>D</v>
      </c>
      <c r="K358" s="4">
        <f>INDEX(products!$D$1:$D$49,MATCH($D358,products!$A$1:$A$49,0))</f>
        <v>1</v>
      </c>
      <c r="L358" s="5">
        <f>INDEX(products!$E$1:$E$49,MATCH($D358,products!$A$1:$A$49,0))</f>
        <v>12.95</v>
      </c>
      <c r="M358" s="5">
        <f t="shared" si="5"/>
        <v>51.8</v>
      </c>
      <c r="N358" t="str" cm="1">
        <f t="array" ref="N358">_xlfn.IFS(I358="Rob","Robusta",I358="Exc","Excelsa",I358="Ara","Arabica",I358="Lib","Liberica")</f>
        <v>Liberica</v>
      </c>
      <c r="O358" t="str" cm="1">
        <f t="array" ref="O358">_xlfn.SWITCH($J358,"M","Medium","L","Light","D","Dark")</f>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IF(_xlfn.XLOOKUP(C359,customers!$A$1:$A$1001,customers!$C$1:$C$1001,,0)=0,"Not _Provided",_xlfn.XLOOKUP(C359,customers!$A$1:$A$1001,customers!$C$1:$C$1001,,0))</f>
        <v>Not _Provided</v>
      </c>
      <c r="H359" s="2" t="str">
        <f>_xlfn.XLOOKUP(C359,customers!$A$1:$A$1001,customers!$G$1:$G$1001,,0)</f>
        <v>United States</v>
      </c>
      <c r="I359" t="str">
        <f>INDEX(products!$B$1:$B$49,MATCH($D359,products!$A$1:$A$49,0))</f>
        <v>Ara</v>
      </c>
      <c r="J359" t="str">
        <f>INDEX(products!$C$1:$C$49,MATCH($D359,products!$A$1:$A$49,0))</f>
        <v>M</v>
      </c>
      <c r="K359" s="4">
        <f>INDEX(products!$D$1:$D$49,MATCH($D359,products!$A$1:$A$49,0))</f>
        <v>2.5</v>
      </c>
      <c r="L359" s="5">
        <f>INDEX(products!$E$1:$E$49,MATCH($D359,products!$A$1:$A$49,0))</f>
        <v>25.874999999999996</v>
      </c>
      <c r="M359" s="5">
        <f t="shared" si="5"/>
        <v>155.24999999999997</v>
      </c>
      <c r="N359" t="str" cm="1">
        <f t="array" ref="N359">_xlfn.IFS(I359="Rob","Robusta",I359="Exc","Excelsa",I359="Ara","Arabica",I359="Lib","Liberica")</f>
        <v>Arabica</v>
      </c>
      <c r="O359" t="str" cm="1">
        <f t="array" ref="O359">_xlfn.SWITCH($J359,"M","Medium","L","Light","D","Dark")</f>
        <v>Medium</v>
      </c>
      <c r="P359" t="str">
        <f>_xlfn.XLOOKUP(Table1[[#This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IF(_xlfn.XLOOKUP(C360,customers!$A$1:$A$1001,customers!$C$1:$C$1001,,0)=0,"Not _Provided",_xlfn.XLOOKUP(C360,customers!$A$1:$A$1001,customers!$C$1:$C$1001,,0))</f>
        <v>tcotmore9y@amazonaws.com</v>
      </c>
      <c r="H360" s="2" t="str">
        <f>_xlfn.XLOOKUP(C360,customers!$A$1:$A$1001,customers!$G$1:$G$1001,,0)</f>
        <v>United States</v>
      </c>
      <c r="I360" t="str">
        <f>INDEX(products!$B$1:$B$49,MATCH($D360,products!$A$1:$A$49,0))</f>
        <v>Ara</v>
      </c>
      <c r="J360" t="str">
        <f>INDEX(products!$C$1:$C$49,MATCH($D360,products!$A$1:$A$49,0))</f>
        <v>L</v>
      </c>
      <c r="K360" s="4">
        <f>INDEX(products!$D$1:$D$49,MATCH($D360,products!$A$1:$A$49,0))</f>
        <v>2.5</v>
      </c>
      <c r="L360" s="5">
        <f>INDEX(products!$E$1:$E$49,MATCH($D360,products!$A$1:$A$49,0))</f>
        <v>29.784999999999997</v>
      </c>
      <c r="M360" s="5">
        <f t="shared" si="5"/>
        <v>29.784999999999997</v>
      </c>
      <c r="N360" t="str" cm="1">
        <f t="array" ref="N360">_xlfn.IFS(I360="Rob","Robusta",I360="Exc","Excelsa",I360="Ara","Arabica",I360="Lib","Liberica")</f>
        <v>Arabica</v>
      </c>
      <c r="O360" t="str" cm="1">
        <f t="array" ref="O360">_xlfn.SWITCH($J360,"M","Medium","L","Light","D","Dark")</f>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IF(_xlfn.XLOOKUP(C361,customers!$A$1:$A$1001,customers!$C$1:$C$1001,,0)=0,"Not _Provided",_xlfn.XLOOKUP(C361,customers!$A$1:$A$1001,customers!$C$1:$C$1001,,0))</f>
        <v>yskipsey9z@spotify.com</v>
      </c>
      <c r="H361" s="2" t="str">
        <f>_xlfn.XLOOKUP(C361,customers!$A$1:$A$1001,customers!$G$1:$G$1001,,0)</f>
        <v>United Kingdom</v>
      </c>
      <c r="I361" t="str">
        <f>INDEX(products!$B$1:$B$49,MATCH($D361,products!$A$1:$A$49,0))</f>
        <v>Rob</v>
      </c>
      <c r="J361" t="str">
        <f>INDEX(products!$C$1:$C$49,MATCH($D361,products!$A$1:$A$49,0))</f>
        <v>L</v>
      </c>
      <c r="K361" s="4">
        <f>INDEX(products!$D$1:$D$49,MATCH($D361,products!$A$1:$A$49,0))</f>
        <v>0.2</v>
      </c>
      <c r="L361" s="5">
        <f>INDEX(products!$E$1:$E$49,MATCH($D361,products!$A$1:$A$49,0))</f>
        <v>3.5849999999999995</v>
      </c>
      <c r="M361" s="5">
        <f t="shared" si="5"/>
        <v>21.509999999999998</v>
      </c>
      <c r="N361" t="str" cm="1">
        <f t="array" ref="N361">_xlfn.IFS(I361="Rob","Robusta",I361="Exc","Excelsa",I361="Ara","Arabica",I361="Lib","Liberica")</f>
        <v>Robusta</v>
      </c>
      <c r="O361" t="str" cm="1">
        <f t="array" ref="O361">_xlfn.SWITCH($J361,"M","Medium","L","Light","D","Dark")</f>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IF(_xlfn.XLOOKUP(C362,customers!$A$1:$A$1001,customers!$C$1:$C$1001,,0)=0,"Not _Provided",_xlfn.XLOOKUP(C362,customers!$A$1:$A$1001,customers!$C$1:$C$1001,,0))</f>
        <v>ncorpsa0@gmpg.org</v>
      </c>
      <c r="H362" s="2" t="str">
        <f>_xlfn.XLOOKUP(C362,customers!$A$1:$A$1001,customers!$G$1:$G$1001,,0)</f>
        <v>United States</v>
      </c>
      <c r="I362" t="str">
        <f>INDEX(products!$B$1:$B$49,MATCH($D362,products!$A$1:$A$49,0))</f>
        <v>Rob</v>
      </c>
      <c r="J362" t="str">
        <f>INDEX(products!$C$1:$C$49,MATCH($D362,products!$A$1:$A$49,0))</f>
        <v>D</v>
      </c>
      <c r="K362" s="4">
        <f>INDEX(products!$D$1:$D$49,MATCH($D362,products!$A$1:$A$49,0))</f>
        <v>2.5</v>
      </c>
      <c r="L362" s="5">
        <f>INDEX(products!$E$1:$E$49,MATCH($D362,products!$A$1:$A$49,0))</f>
        <v>20.584999999999997</v>
      </c>
      <c r="M362" s="5">
        <f t="shared" si="5"/>
        <v>41.169999999999995</v>
      </c>
      <c r="N362" t="str" cm="1">
        <f t="array" ref="N362">_xlfn.IFS(I362="Rob","Robusta",I362="Exc","Excelsa",I362="Ara","Arabica",I362="Lib","Liberica")</f>
        <v>Robusta</v>
      </c>
      <c r="O362" t="str" cm="1">
        <f t="array" ref="O362">_xlfn.SWITCH($J362,"M","Medium","L","Light","D","Dark")</f>
        <v>Dark</v>
      </c>
      <c r="P362" t="str">
        <f>_xlfn.XLOOKUP(Table1[[#This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IF(_xlfn.XLOOKUP(C363,customers!$A$1:$A$1001,customers!$C$1:$C$1001,,0)=0,"Not _Provided",_xlfn.XLOOKUP(C363,customers!$A$1:$A$1001,customers!$C$1:$C$1001,,0))</f>
        <v>ncorpsa0@gmpg.org</v>
      </c>
      <c r="H363" s="2" t="str">
        <f>_xlfn.XLOOKUP(C363,customers!$A$1:$A$1001,customers!$G$1:$G$1001,,0)</f>
        <v>United States</v>
      </c>
      <c r="I363" t="str">
        <f>INDEX(products!$B$1:$B$49,MATCH($D363,products!$A$1:$A$49,0))</f>
        <v>Rob</v>
      </c>
      <c r="J363" t="str">
        <f>INDEX(products!$C$1:$C$49,MATCH($D363,products!$A$1:$A$49,0))</f>
        <v>M</v>
      </c>
      <c r="K363" s="4">
        <f>INDEX(products!$D$1:$D$49,MATCH($D363,products!$A$1:$A$49,0))</f>
        <v>0.5</v>
      </c>
      <c r="L363" s="5">
        <f>INDEX(products!$E$1:$E$49,MATCH($D363,products!$A$1:$A$49,0))</f>
        <v>5.97</v>
      </c>
      <c r="M363" s="5">
        <f t="shared" si="5"/>
        <v>5.97</v>
      </c>
      <c r="N363" t="str" cm="1">
        <f t="array" ref="N363">_xlfn.IFS(I363="Rob","Robusta",I363="Exc","Excelsa",I363="Ara","Arabica",I363="Lib","Liberica")</f>
        <v>Robusta</v>
      </c>
      <c r="O363" t="str" cm="1">
        <f t="array" ref="O363">_xlfn.SWITCH($J363,"M","Medium","L","Light","D","Dark")</f>
        <v>Medium</v>
      </c>
      <c r="P363" t="str">
        <f>_xlfn.XLOOKUP(Table1[[#This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IF(_xlfn.XLOOKUP(C364,customers!$A$1:$A$1001,customers!$C$1:$C$1001,,0)=0,"Not _Provided",_xlfn.XLOOKUP(C364,customers!$A$1:$A$1001,customers!$C$1:$C$1001,,0))</f>
        <v>fbabbera2@stanford.edu</v>
      </c>
      <c r="H364" s="2" t="str">
        <f>_xlfn.XLOOKUP(C364,customers!$A$1:$A$1001,customers!$G$1:$G$1001,,0)</f>
        <v>United States</v>
      </c>
      <c r="I364" t="str">
        <f>INDEX(products!$B$1:$B$49,MATCH($D364,products!$A$1:$A$49,0))</f>
        <v>Exc</v>
      </c>
      <c r="J364" t="str">
        <f>INDEX(products!$C$1:$C$49,MATCH($D364,products!$A$1:$A$49,0))</f>
        <v>L</v>
      </c>
      <c r="K364" s="4">
        <f>INDEX(products!$D$1:$D$49,MATCH($D364,products!$A$1:$A$49,0))</f>
        <v>1</v>
      </c>
      <c r="L364" s="5">
        <f>INDEX(products!$E$1:$E$49,MATCH($D364,products!$A$1:$A$49,0))</f>
        <v>14.85</v>
      </c>
      <c r="M364" s="5">
        <f t="shared" si="5"/>
        <v>74.25</v>
      </c>
      <c r="N364" t="str" cm="1">
        <f t="array" ref="N364">_xlfn.IFS(I364="Rob","Robusta",I364="Exc","Excelsa",I364="Ara","Arabica",I364="Lib","Liberica")</f>
        <v>Excelsa</v>
      </c>
      <c r="O364" t="str" cm="1">
        <f t="array" ref="O364">_xlfn.SWITCH($J364,"M","Medium","L","Light","D","Dark")</f>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IF(_xlfn.XLOOKUP(C365,customers!$A$1:$A$1001,customers!$C$1:$C$1001,,0)=0,"Not _Provided",_xlfn.XLOOKUP(C365,customers!$A$1:$A$1001,customers!$C$1:$C$1001,,0))</f>
        <v>kloxtona3@opensource.org</v>
      </c>
      <c r="H365" s="2" t="str">
        <f>_xlfn.XLOOKUP(C365,customers!$A$1:$A$1001,customers!$G$1:$G$1001,,0)</f>
        <v>United States</v>
      </c>
      <c r="I365" t="str">
        <f>INDEX(products!$B$1:$B$49,MATCH($D365,products!$A$1:$A$49,0))</f>
        <v>Lib</v>
      </c>
      <c r="J365" t="str">
        <f>INDEX(products!$C$1:$C$49,MATCH($D365,products!$A$1:$A$49,0))</f>
        <v>M</v>
      </c>
      <c r="K365" s="4">
        <f>INDEX(products!$D$1:$D$49,MATCH($D365,products!$A$1:$A$49,0))</f>
        <v>1</v>
      </c>
      <c r="L365" s="5">
        <f>INDEX(products!$E$1:$E$49,MATCH($D365,products!$A$1:$A$49,0))</f>
        <v>14.55</v>
      </c>
      <c r="M365" s="5">
        <f t="shared" si="5"/>
        <v>87.300000000000011</v>
      </c>
      <c r="N365" t="str" cm="1">
        <f t="array" ref="N365">_xlfn.IFS(I365="Rob","Robusta",I365="Exc","Excelsa",I365="Ara","Arabica",I365="Lib","Liberica")</f>
        <v>Liberica</v>
      </c>
      <c r="O365" t="str" cm="1">
        <f t="array" ref="O365">_xlfn.SWITCH($J365,"M","Medium","L","Light","D","Dark")</f>
        <v>Medium</v>
      </c>
      <c r="P365" t="str">
        <f>_xlfn.XLOOKUP(Table1[[#This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IF(_xlfn.XLOOKUP(C366,customers!$A$1:$A$1001,customers!$C$1:$C$1001,,0)=0,"Not _Provided",_xlfn.XLOOKUP(C366,customers!$A$1:$A$1001,customers!$C$1:$C$1001,,0))</f>
        <v>ptoffula4@posterous.com</v>
      </c>
      <c r="H366" s="2" t="str">
        <f>_xlfn.XLOOKUP(C366,customers!$A$1:$A$1001,customers!$G$1:$G$1001,,0)</f>
        <v>United States</v>
      </c>
      <c r="I366" t="str">
        <f>INDEX(products!$B$1:$B$49,MATCH($D366,products!$A$1:$A$49,0))</f>
        <v>Exc</v>
      </c>
      <c r="J366" t="str">
        <f>INDEX(products!$C$1:$C$49,MATCH($D366,products!$A$1:$A$49,0))</f>
        <v>D</v>
      </c>
      <c r="K366" s="4">
        <f>INDEX(products!$D$1:$D$49,MATCH($D366,products!$A$1:$A$49,0))</f>
        <v>1</v>
      </c>
      <c r="L366" s="5">
        <f>INDEX(products!$E$1:$E$49,MATCH($D366,products!$A$1:$A$49,0))</f>
        <v>12.15</v>
      </c>
      <c r="M366" s="5">
        <f t="shared" si="5"/>
        <v>72.900000000000006</v>
      </c>
      <c r="N366" t="str" cm="1">
        <f t="array" ref="N366">_xlfn.IFS(I366="Rob","Robusta",I366="Exc","Excelsa",I366="Ara","Arabica",I366="Lib","Liberica")</f>
        <v>Excelsa</v>
      </c>
      <c r="O366" t="str" cm="1">
        <f t="array" ref="O366">_xlfn.SWITCH($J366,"M","Medium","L","Light","D","Dark")</f>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IF(_xlfn.XLOOKUP(C367,customers!$A$1:$A$1001,customers!$C$1:$C$1001,,0)=0,"Not _Provided",_xlfn.XLOOKUP(C367,customers!$A$1:$A$1001,customers!$C$1:$C$1001,,0))</f>
        <v>cgwinnetta5@behance.net</v>
      </c>
      <c r="H367" s="2" t="str">
        <f>_xlfn.XLOOKUP(C367,customers!$A$1:$A$1001,customers!$G$1:$G$1001,,0)</f>
        <v>United States</v>
      </c>
      <c r="I367" t="str">
        <f>INDEX(products!$B$1:$B$49,MATCH($D367,products!$A$1:$A$49,0))</f>
        <v>Lib</v>
      </c>
      <c r="J367" t="str">
        <f>INDEX(products!$C$1:$C$49,MATCH($D367,products!$A$1:$A$49,0))</f>
        <v>D</v>
      </c>
      <c r="K367" s="4">
        <f>INDEX(products!$D$1:$D$49,MATCH($D367,products!$A$1:$A$49,0))</f>
        <v>0.5</v>
      </c>
      <c r="L367" s="5">
        <f>INDEX(products!$E$1:$E$49,MATCH($D367,products!$A$1:$A$49,0))</f>
        <v>7.77</v>
      </c>
      <c r="M367" s="5">
        <f t="shared" si="5"/>
        <v>7.77</v>
      </c>
      <c r="N367" t="str" cm="1">
        <f t="array" ref="N367">_xlfn.IFS(I367="Rob","Robusta",I367="Exc","Excelsa",I367="Ara","Arabica",I367="Lib","Liberica")</f>
        <v>Liberica</v>
      </c>
      <c r="O367" t="str" cm="1">
        <f t="array" ref="O367">_xlfn.SWITCH($J367,"M","Medium","L","Light","D","Dark")</f>
        <v>Dark</v>
      </c>
      <c r="P367" t="str">
        <f>_xlfn.XLOOKUP(Table1[[#This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IF(_xlfn.XLOOKUP(C368,customers!$A$1:$A$1001,customers!$C$1:$C$1001,,0)=0,"Not _Provided",_xlfn.XLOOKUP(C368,customers!$A$1:$A$1001,customers!$C$1:$C$1001,,0))</f>
        <v>Not _Provided</v>
      </c>
      <c r="H368" s="2" t="str">
        <f>_xlfn.XLOOKUP(C368,customers!$A$1:$A$1001,customers!$G$1:$G$1001,,0)</f>
        <v>United States</v>
      </c>
      <c r="I368" t="str">
        <f>INDEX(products!$B$1:$B$49,MATCH($D368,products!$A$1:$A$49,0))</f>
        <v>Exc</v>
      </c>
      <c r="J368" t="str">
        <f>INDEX(products!$C$1:$C$49,MATCH($D368,products!$A$1:$A$49,0))</f>
        <v>D</v>
      </c>
      <c r="K368" s="4">
        <f>INDEX(products!$D$1:$D$49,MATCH($D368,products!$A$1:$A$49,0))</f>
        <v>0.5</v>
      </c>
      <c r="L368" s="5">
        <f>INDEX(products!$E$1:$E$49,MATCH($D368,products!$A$1:$A$49,0))</f>
        <v>7.29</v>
      </c>
      <c r="M368" s="5">
        <f t="shared" si="5"/>
        <v>43.74</v>
      </c>
      <c r="N368" t="str" cm="1">
        <f t="array" ref="N368">_xlfn.IFS(I368="Rob","Robusta",I368="Exc","Excelsa",I368="Ara","Arabica",I368="Lib","Liberica")</f>
        <v>Excelsa</v>
      </c>
      <c r="O368" t="str" cm="1">
        <f t="array" ref="O368">_xlfn.SWITCH($J368,"M","Medium","L","Light","D","Dark")</f>
        <v>Dark</v>
      </c>
      <c r="P368" t="str">
        <f>_xlfn.XLOOKUP(Table1[[#This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IF(_xlfn.XLOOKUP(C369,customers!$A$1:$A$1001,customers!$C$1:$C$1001,,0)=0,"Not _Provided",_xlfn.XLOOKUP(C369,customers!$A$1:$A$1001,customers!$C$1:$C$1001,,0))</f>
        <v>Not _Provided</v>
      </c>
      <c r="H369" s="2" t="str">
        <f>_xlfn.XLOOKUP(C369,customers!$A$1:$A$1001,customers!$G$1:$G$1001,,0)</f>
        <v>United States</v>
      </c>
      <c r="I369" t="str">
        <f>INDEX(products!$B$1:$B$49,MATCH($D369,products!$A$1:$A$49,0))</f>
        <v>Lib</v>
      </c>
      <c r="J369" t="str">
        <f>INDEX(products!$C$1:$C$49,MATCH($D369,products!$A$1:$A$49,0))</f>
        <v>M</v>
      </c>
      <c r="K369" s="4">
        <f>INDEX(products!$D$1:$D$49,MATCH($D369,products!$A$1:$A$49,0))</f>
        <v>0.2</v>
      </c>
      <c r="L369" s="5">
        <f>INDEX(products!$E$1:$E$49,MATCH($D369,products!$A$1:$A$49,0))</f>
        <v>4.3650000000000002</v>
      </c>
      <c r="M369" s="5">
        <f t="shared" si="5"/>
        <v>8.73</v>
      </c>
      <c r="N369" t="str" cm="1">
        <f t="array" ref="N369">_xlfn.IFS(I369="Rob","Robusta",I369="Exc","Excelsa",I369="Ara","Arabica",I369="Lib","Liberica")</f>
        <v>Liberica</v>
      </c>
      <c r="O369" t="str" cm="1">
        <f t="array" ref="O369">_xlfn.SWITCH($J369,"M","Medium","L","Light","D","Dark")</f>
        <v>Medium</v>
      </c>
      <c r="P369" t="str">
        <f>_xlfn.XLOOKUP(Table1[[#This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IF(_xlfn.XLOOKUP(C370,customers!$A$1:$A$1001,customers!$C$1:$C$1001,,0)=0,"Not _Provided",_xlfn.XLOOKUP(C370,customers!$A$1:$A$1001,customers!$C$1:$C$1001,,0))</f>
        <v>lflaoniera8@wordpress.org</v>
      </c>
      <c r="H370" s="2" t="str">
        <f>_xlfn.XLOOKUP(C370,customers!$A$1:$A$1001,customers!$G$1:$G$1001,,0)</f>
        <v>United States</v>
      </c>
      <c r="I370" t="str">
        <f>INDEX(products!$B$1:$B$49,MATCH($D370,products!$A$1:$A$49,0))</f>
        <v>Exc</v>
      </c>
      <c r="J370" t="str">
        <f>INDEX(products!$C$1:$C$49,MATCH($D370,products!$A$1:$A$49,0))</f>
        <v>M</v>
      </c>
      <c r="K370" s="4">
        <f>INDEX(products!$D$1:$D$49,MATCH($D370,products!$A$1:$A$49,0))</f>
        <v>2.5</v>
      </c>
      <c r="L370" s="5">
        <f>INDEX(products!$E$1:$E$49,MATCH($D370,products!$A$1:$A$49,0))</f>
        <v>31.624999999999996</v>
      </c>
      <c r="M370" s="5">
        <f t="shared" si="5"/>
        <v>63.249999999999993</v>
      </c>
      <c r="N370" t="str" cm="1">
        <f t="array" ref="N370">_xlfn.IFS(I370="Rob","Robusta",I370="Exc","Excelsa",I370="Ara","Arabica",I370="Lib","Liberica")</f>
        <v>Excelsa</v>
      </c>
      <c r="O370" t="str" cm="1">
        <f t="array" ref="O370">_xlfn.SWITCH($J370,"M","Medium","L","Light","D","Dark")</f>
        <v>Medium</v>
      </c>
      <c r="P370" t="str">
        <f>_xlfn.XLOOKUP(Table1[[#This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IF(_xlfn.XLOOKUP(C371,customers!$A$1:$A$1001,customers!$C$1:$C$1001,,0)=0,"Not _Provided",_xlfn.XLOOKUP(C371,customers!$A$1:$A$1001,customers!$C$1:$C$1001,,0))</f>
        <v>Not _Provided</v>
      </c>
      <c r="H371" s="2" t="str">
        <f>_xlfn.XLOOKUP(C371,customers!$A$1:$A$1001,customers!$G$1:$G$1001,,0)</f>
        <v>United States</v>
      </c>
      <c r="I371" t="str">
        <f>INDEX(products!$B$1:$B$49,MATCH($D371,products!$A$1:$A$49,0))</f>
        <v>Exc</v>
      </c>
      <c r="J371" t="str">
        <f>INDEX(products!$C$1:$C$49,MATCH($D371,products!$A$1:$A$49,0))</f>
        <v>L</v>
      </c>
      <c r="K371" s="4">
        <f>INDEX(products!$D$1:$D$49,MATCH($D371,products!$A$1:$A$49,0))</f>
        <v>0.5</v>
      </c>
      <c r="L371" s="5">
        <f>INDEX(products!$E$1:$E$49,MATCH($D371,products!$A$1:$A$49,0))</f>
        <v>8.91</v>
      </c>
      <c r="M371" s="5">
        <f t="shared" si="5"/>
        <v>8.91</v>
      </c>
      <c r="N371" t="str" cm="1">
        <f t="array" ref="N371">_xlfn.IFS(I371="Rob","Robusta",I371="Exc","Excelsa",I371="Ara","Arabica",I371="Lib","Liberica")</f>
        <v>Excelsa</v>
      </c>
      <c r="O371" t="str" cm="1">
        <f t="array" ref="O371">_xlfn.SWITCH($J371,"M","Medium","L","Light","D","Dark")</f>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IF(_xlfn.XLOOKUP(C372,customers!$A$1:$A$1001,customers!$C$1:$C$1001,,0)=0,"Not _Provided",_xlfn.XLOOKUP(C372,customers!$A$1:$A$1001,customers!$C$1:$C$1001,,0))</f>
        <v>ccatchesideaa@macromedia.com</v>
      </c>
      <c r="H372" s="2" t="str">
        <f>_xlfn.XLOOKUP(C372,customers!$A$1:$A$1001,customers!$G$1:$G$1001,,0)</f>
        <v>United States</v>
      </c>
      <c r="I372" t="str">
        <f>INDEX(products!$B$1:$B$49,MATCH($D372,products!$A$1:$A$49,0))</f>
        <v>Exc</v>
      </c>
      <c r="J372" t="str">
        <f>INDEX(products!$C$1:$C$49,MATCH($D372,products!$A$1:$A$49,0))</f>
        <v>D</v>
      </c>
      <c r="K372" s="4">
        <f>INDEX(products!$D$1:$D$49,MATCH($D372,products!$A$1:$A$49,0))</f>
        <v>1</v>
      </c>
      <c r="L372" s="5">
        <f>INDEX(products!$E$1:$E$49,MATCH($D372,products!$A$1:$A$49,0))</f>
        <v>12.15</v>
      </c>
      <c r="M372" s="5">
        <f t="shared" si="5"/>
        <v>24.3</v>
      </c>
      <c r="N372" t="str" cm="1">
        <f t="array" ref="N372">_xlfn.IFS(I372="Rob","Robusta",I372="Exc","Excelsa",I372="Ara","Arabica",I372="Lib","Liberica")</f>
        <v>Excelsa</v>
      </c>
      <c r="O372" t="str" cm="1">
        <f t="array" ref="O372">_xlfn.SWITCH($J372,"M","Medium","L","Light","D","Dark")</f>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IF(_xlfn.XLOOKUP(C373,customers!$A$1:$A$1001,customers!$C$1:$C$1001,,0)=0,"Not _Provided",_xlfn.XLOOKUP(C373,customers!$A$1:$A$1001,customers!$C$1:$C$1001,,0))</f>
        <v>cgibbonsonab@accuweather.com</v>
      </c>
      <c r="H373" s="2" t="str">
        <f>_xlfn.XLOOKUP(C373,customers!$A$1:$A$1001,customers!$G$1:$G$1001,,0)</f>
        <v>United States</v>
      </c>
      <c r="I373" t="str">
        <f>INDEX(products!$B$1:$B$49,MATCH($D373,products!$A$1:$A$49,0))</f>
        <v>Ara</v>
      </c>
      <c r="J373" t="str">
        <f>INDEX(products!$C$1:$C$49,MATCH($D373,products!$A$1:$A$49,0))</f>
        <v>L</v>
      </c>
      <c r="K373" s="4">
        <f>INDEX(products!$D$1:$D$49,MATCH($D373,products!$A$1:$A$49,0))</f>
        <v>0.5</v>
      </c>
      <c r="L373" s="5">
        <f>INDEX(products!$E$1:$E$49,MATCH($D373,products!$A$1:$A$49,0))</f>
        <v>7.77</v>
      </c>
      <c r="M373" s="5">
        <f t="shared" si="5"/>
        <v>46.62</v>
      </c>
      <c r="N373" t="str" cm="1">
        <f t="array" ref="N373">_xlfn.IFS(I373="Rob","Robusta",I373="Exc","Excelsa",I373="Ara","Arabica",I373="Lib","Liberica")</f>
        <v>Arabica</v>
      </c>
      <c r="O373" t="str" cm="1">
        <f t="array" ref="O373">_xlfn.SWITCH($J373,"M","Medium","L","Light","D","Dark")</f>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IF(_xlfn.XLOOKUP(C374,customers!$A$1:$A$1001,customers!$C$1:$C$1001,,0)=0,"Not _Provided",_xlfn.XLOOKUP(C374,customers!$A$1:$A$1001,customers!$C$1:$C$1001,,0))</f>
        <v>tfarraac@behance.net</v>
      </c>
      <c r="H374" s="2" t="str">
        <f>_xlfn.XLOOKUP(C374,customers!$A$1:$A$1001,customers!$G$1:$G$1001,,0)</f>
        <v>United States</v>
      </c>
      <c r="I374" t="str">
        <f>INDEX(products!$B$1:$B$49,MATCH($D374,products!$A$1:$A$49,0))</f>
        <v>Rob</v>
      </c>
      <c r="J374" t="str">
        <f>INDEX(products!$C$1:$C$49,MATCH($D374,products!$A$1:$A$49,0))</f>
        <v>L</v>
      </c>
      <c r="K374" s="4">
        <f>INDEX(products!$D$1:$D$49,MATCH($D374,products!$A$1:$A$49,0))</f>
        <v>0.5</v>
      </c>
      <c r="L374" s="5">
        <f>INDEX(products!$E$1:$E$49,MATCH($D374,products!$A$1:$A$49,0))</f>
        <v>7.169999999999999</v>
      </c>
      <c r="M374" s="5">
        <f t="shared" si="5"/>
        <v>43.019999999999996</v>
      </c>
      <c r="N374" t="str" cm="1">
        <f t="array" ref="N374">_xlfn.IFS(I374="Rob","Robusta",I374="Exc","Excelsa",I374="Ara","Arabica",I374="Lib","Liberica")</f>
        <v>Robusta</v>
      </c>
      <c r="O374" t="str" cm="1">
        <f t="array" ref="O374">_xlfn.SWITCH($J374,"M","Medium","L","Light","D","Dark")</f>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IF(_xlfn.XLOOKUP(C375,customers!$A$1:$A$1001,customers!$C$1:$C$1001,,0)=0,"Not _Provided",_xlfn.XLOOKUP(C375,customers!$A$1:$A$1001,customers!$C$1:$C$1001,,0))</f>
        <v>Not _Provided</v>
      </c>
      <c r="H375" s="2" t="str">
        <f>_xlfn.XLOOKUP(C375,customers!$A$1:$A$1001,customers!$G$1:$G$1001,,0)</f>
        <v>Ireland</v>
      </c>
      <c r="I375" t="str">
        <f>INDEX(products!$B$1:$B$49,MATCH($D375,products!$A$1:$A$49,0))</f>
        <v>Ara</v>
      </c>
      <c r="J375" t="str">
        <f>INDEX(products!$C$1:$C$49,MATCH($D375,products!$A$1:$A$49,0))</f>
        <v>D</v>
      </c>
      <c r="K375" s="4">
        <f>INDEX(products!$D$1:$D$49,MATCH($D375,products!$A$1:$A$49,0))</f>
        <v>0.5</v>
      </c>
      <c r="L375" s="5">
        <f>INDEX(products!$E$1:$E$49,MATCH($D375,products!$A$1:$A$49,0))</f>
        <v>5.97</v>
      </c>
      <c r="M375" s="5">
        <f t="shared" si="5"/>
        <v>17.91</v>
      </c>
      <c r="N375" t="str" cm="1">
        <f t="array" ref="N375">_xlfn.IFS(I375="Rob","Robusta",I375="Exc","Excelsa",I375="Ara","Arabica",I375="Lib","Liberica")</f>
        <v>Arabica</v>
      </c>
      <c r="O375" t="str" cm="1">
        <f t="array" ref="O375">_xlfn.SWITCH($J375,"M","Medium","L","Light","D","Dark")</f>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IF(_xlfn.XLOOKUP(C376,customers!$A$1:$A$1001,customers!$C$1:$C$1001,,0)=0,"Not _Provided",_xlfn.XLOOKUP(C376,customers!$A$1:$A$1001,customers!$C$1:$C$1001,,0))</f>
        <v>gbamfieldae@yellowpages.com</v>
      </c>
      <c r="H376" s="2" t="str">
        <f>_xlfn.XLOOKUP(C376,customers!$A$1:$A$1001,customers!$G$1:$G$1001,,0)</f>
        <v>United States</v>
      </c>
      <c r="I376" t="str">
        <f>INDEX(products!$B$1:$B$49,MATCH($D376,products!$A$1:$A$49,0))</f>
        <v>Lib</v>
      </c>
      <c r="J376" t="str">
        <f>INDEX(products!$C$1:$C$49,MATCH($D376,products!$A$1:$A$49,0))</f>
        <v>L</v>
      </c>
      <c r="K376" s="4">
        <f>INDEX(products!$D$1:$D$49,MATCH($D376,products!$A$1:$A$49,0))</f>
        <v>0.5</v>
      </c>
      <c r="L376" s="5">
        <f>INDEX(products!$E$1:$E$49,MATCH($D376,products!$A$1:$A$49,0))</f>
        <v>9.51</v>
      </c>
      <c r="M376" s="5">
        <f t="shared" si="5"/>
        <v>38.04</v>
      </c>
      <c r="N376" t="str" cm="1">
        <f t="array" ref="N376">_xlfn.IFS(I376="Rob","Robusta",I376="Exc","Excelsa",I376="Ara","Arabica",I376="Lib","Liberica")</f>
        <v>Liberica</v>
      </c>
      <c r="O376" t="str" cm="1">
        <f t="array" ref="O376">_xlfn.SWITCH($J376,"M","Medium","L","Light","D","Dark")</f>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IF(_xlfn.XLOOKUP(C377,customers!$A$1:$A$1001,customers!$C$1:$C$1001,,0)=0,"Not _Provided",_xlfn.XLOOKUP(C377,customers!$A$1:$A$1001,customers!$C$1:$C$1001,,0))</f>
        <v>whollingdaleaf@about.me</v>
      </c>
      <c r="H377" s="2" t="str">
        <f>_xlfn.XLOOKUP(C377,customers!$A$1:$A$1001,customers!$G$1:$G$1001,,0)</f>
        <v>United States</v>
      </c>
      <c r="I377" t="str">
        <f>INDEX(products!$B$1:$B$49,MATCH($D377,products!$A$1:$A$49,0))</f>
        <v>Ara</v>
      </c>
      <c r="J377" t="str">
        <f>INDEX(products!$C$1:$C$49,MATCH($D377,products!$A$1:$A$49,0))</f>
        <v>M</v>
      </c>
      <c r="K377" s="4">
        <f>INDEX(products!$D$1:$D$49,MATCH($D377,products!$A$1:$A$49,0))</f>
        <v>0.2</v>
      </c>
      <c r="L377" s="5">
        <f>INDEX(products!$E$1:$E$49,MATCH($D377,products!$A$1:$A$49,0))</f>
        <v>3.375</v>
      </c>
      <c r="M377" s="5">
        <f t="shared" si="5"/>
        <v>6.75</v>
      </c>
      <c r="N377" t="str" cm="1">
        <f t="array" ref="N377">_xlfn.IFS(I377="Rob","Robusta",I377="Exc","Excelsa",I377="Ara","Arabica",I377="Lib","Liberica")</f>
        <v>Arabica</v>
      </c>
      <c r="O377" t="str" cm="1">
        <f t="array" ref="O377">_xlfn.SWITCH($J377,"M","Medium","L","Light","D","Dark")</f>
        <v>Medium</v>
      </c>
      <c r="P377" t="str">
        <f>_xlfn.XLOOKUP(Table1[[#This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IF(_xlfn.XLOOKUP(C378,customers!$A$1:$A$1001,customers!$C$1:$C$1001,,0)=0,"Not _Provided",_xlfn.XLOOKUP(C378,customers!$A$1:$A$1001,customers!$C$1:$C$1001,,0))</f>
        <v>jdeag@xrea.com</v>
      </c>
      <c r="H378" s="2" t="str">
        <f>_xlfn.XLOOKUP(C378,customers!$A$1:$A$1001,customers!$G$1:$G$1001,,0)</f>
        <v>United States</v>
      </c>
      <c r="I378" t="str">
        <f>INDEX(products!$B$1:$B$49,MATCH($D378,products!$A$1:$A$49,0))</f>
        <v>Rob</v>
      </c>
      <c r="J378" t="str">
        <f>INDEX(products!$C$1:$C$49,MATCH($D378,products!$A$1:$A$49,0))</f>
        <v>M</v>
      </c>
      <c r="K378" s="4">
        <f>INDEX(products!$D$1:$D$49,MATCH($D378,products!$A$1:$A$49,0))</f>
        <v>0.5</v>
      </c>
      <c r="L378" s="5">
        <f>INDEX(products!$E$1:$E$49,MATCH($D378,products!$A$1:$A$49,0))</f>
        <v>5.97</v>
      </c>
      <c r="M378" s="5">
        <f t="shared" si="5"/>
        <v>5.97</v>
      </c>
      <c r="N378" t="str" cm="1">
        <f t="array" ref="N378">_xlfn.IFS(I378="Rob","Robusta",I378="Exc","Excelsa",I378="Ara","Arabica",I378="Lib","Liberica")</f>
        <v>Robusta</v>
      </c>
      <c r="O378" t="str" cm="1">
        <f t="array" ref="O378">_xlfn.SWITCH($J378,"M","Medium","L","Light","D","Dark")</f>
        <v>Medium</v>
      </c>
      <c r="P378" t="str">
        <f>_xlfn.XLOOKUP(Table1[[#This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IF(_xlfn.XLOOKUP(C379,customers!$A$1:$A$1001,customers!$C$1:$C$1001,,0)=0,"Not _Provided",_xlfn.XLOOKUP(C379,customers!$A$1:$A$1001,customers!$C$1:$C$1001,,0))</f>
        <v>vskulletah@tinyurl.com</v>
      </c>
      <c r="H379" s="2" t="str">
        <f>_xlfn.XLOOKUP(C379,customers!$A$1:$A$1001,customers!$G$1:$G$1001,,0)</f>
        <v>Ireland</v>
      </c>
      <c r="I379" t="str">
        <f>INDEX(products!$B$1:$B$49,MATCH($D379,products!$A$1:$A$49,0))</f>
        <v>Rob</v>
      </c>
      <c r="J379" t="str">
        <f>INDEX(products!$C$1:$C$49,MATCH($D379,products!$A$1:$A$49,0))</f>
        <v>D</v>
      </c>
      <c r="K379" s="4">
        <f>INDEX(products!$D$1:$D$49,MATCH($D379,products!$A$1:$A$49,0))</f>
        <v>0.2</v>
      </c>
      <c r="L379" s="5">
        <f>INDEX(products!$E$1:$E$49,MATCH($D379,products!$A$1:$A$49,0))</f>
        <v>2.6849999999999996</v>
      </c>
      <c r="M379" s="5">
        <f t="shared" si="5"/>
        <v>8.0549999999999997</v>
      </c>
      <c r="N379" t="str" cm="1">
        <f t="array" ref="N379">_xlfn.IFS(I379="Rob","Robusta",I379="Exc","Excelsa",I379="Ara","Arabica",I379="Lib","Liberica")</f>
        <v>Robusta</v>
      </c>
      <c r="O379" t="str" cm="1">
        <f t="array" ref="O379">_xlfn.SWITCH($J379,"M","Medium","L","Light","D","Dark")</f>
        <v>Dark</v>
      </c>
      <c r="P379" t="str">
        <f>_xlfn.XLOOKUP(Table1[[#This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IF(_xlfn.XLOOKUP(C380,customers!$A$1:$A$1001,customers!$C$1:$C$1001,,0)=0,"Not _Provided",_xlfn.XLOOKUP(C380,customers!$A$1:$A$1001,customers!$C$1:$C$1001,,0))</f>
        <v>jrudeforthai@wunderground.com</v>
      </c>
      <c r="H380" s="2" t="str">
        <f>_xlfn.XLOOKUP(C380,customers!$A$1:$A$1001,customers!$G$1:$G$1001,,0)</f>
        <v>Ireland</v>
      </c>
      <c r="I380" t="str">
        <f>INDEX(products!$B$1:$B$49,MATCH($D380,products!$A$1:$A$49,0))</f>
        <v>Ara</v>
      </c>
      <c r="J380" t="str">
        <f>INDEX(products!$C$1:$C$49,MATCH($D380,products!$A$1:$A$49,0))</f>
        <v>L</v>
      </c>
      <c r="K380" s="4">
        <f>INDEX(products!$D$1:$D$49,MATCH($D380,products!$A$1:$A$49,0))</f>
        <v>0.5</v>
      </c>
      <c r="L380" s="5">
        <f>INDEX(products!$E$1:$E$49,MATCH($D380,products!$A$1:$A$49,0))</f>
        <v>7.77</v>
      </c>
      <c r="M380" s="5">
        <f t="shared" si="5"/>
        <v>23.31</v>
      </c>
      <c r="N380" t="str" cm="1">
        <f t="array" ref="N380">_xlfn.IFS(I380="Rob","Robusta",I380="Exc","Excelsa",I380="Ara","Arabica",I380="Lib","Liberica")</f>
        <v>Arabica</v>
      </c>
      <c r="O380" t="str" cm="1">
        <f t="array" ref="O380">_xlfn.SWITCH($J380,"M","Medium","L","Light","D","Dark")</f>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IF(_xlfn.XLOOKUP(C381,customers!$A$1:$A$1001,customers!$C$1:$C$1001,,0)=0,"Not _Provided",_xlfn.XLOOKUP(C381,customers!$A$1:$A$1001,customers!$C$1:$C$1001,,0))</f>
        <v>atomaszewskiaj@answers.com</v>
      </c>
      <c r="H381" s="2" t="str">
        <f>_xlfn.XLOOKUP(C381,customers!$A$1:$A$1001,customers!$G$1:$G$1001,,0)</f>
        <v>United Kingdom</v>
      </c>
      <c r="I381" t="str">
        <f>INDEX(products!$B$1:$B$49,MATCH($D381,products!$A$1:$A$49,0))</f>
        <v>Rob</v>
      </c>
      <c r="J381" t="str">
        <f>INDEX(products!$C$1:$C$49,MATCH($D381,products!$A$1:$A$49,0))</f>
        <v>L</v>
      </c>
      <c r="K381" s="4">
        <f>INDEX(products!$D$1:$D$49,MATCH($D381,products!$A$1:$A$49,0))</f>
        <v>0.5</v>
      </c>
      <c r="L381" s="5">
        <f>INDEX(products!$E$1:$E$49,MATCH($D381,products!$A$1:$A$49,0))</f>
        <v>7.169999999999999</v>
      </c>
      <c r="M381" s="5">
        <f t="shared" si="5"/>
        <v>43.019999999999996</v>
      </c>
      <c r="N381" t="str" cm="1">
        <f t="array" ref="N381">_xlfn.IFS(I381="Rob","Robusta",I381="Exc","Excelsa",I381="Ara","Arabica",I381="Lib","Liberica")</f>
        <v>Robusta</v>
      </c>
      <c r="O381" t="str" cm="1">
        <f t="array" ref="O381">_xlfn.SWITCH($J381,"M","Medium","L","Light","D","Dark")</f>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IF(_xlfn.XLOOKUP(C382,customers!$A$1:$A$1001,customers!$C$1:$C$1001,,0)=0,"Not _Provided",_xlfn.XLOOKUP(C382,customers!$A$1:$A$1001,customers!$C$1:$C$1001,,0))</f>
        <v>Not _Provided</v>
      </c>
      <c r="H382" s="2" t="str">
        <f>_xlfn.XLOOKUP(C382,customers!$A$1:$A$1001,customers!$G$1:$G$1001,,0)</f>
        <v>United States</v>
      </c>
      <c r="I382" t="str">
        <f>INDEX(products!$B$1:$B$49,MATCH($D382,products!$A$1:$A$49,0))</f>
        <v>Lib</v>
      </c>
      <c r="J382" t="str">
        <f>INDEX(products!$C$1:$C$49,MATCH($D382,products!$A$1:$A$49,0))</f>
        <v>D</v>
      </c>
      <c r="K382" s="4">
        <f>INDEX(products!$D$1:$D$49,MATCH($D382,products!$A$1:$A$49,0))</f>
        <v>0.5</v>
      </c>
      <c r="L382" s="5">
        <f>INDEX(products!$E$1:$E$49,MATCH($D382,products!$A$1:$A$49,0))</f>
        <v>7.77</v>
      </c>
      <c r="M382" s="5">
        <f t="shared" si="5"/>
        <v>23.31</v>
      </c>
      <c r="N382" t="str" cm="1">
        <f t="array" ref="N382">_xlfn.IFS(I382="Rob","Robusta",I382="Exc","Excelsa",I382="Ara","Arabica",I382="Lib","Liberica")</f>
        <v>Liberica</v>
      </c>
      <c r="O382" t="str" cm="1">
        <f t="array" ref="O382">_xlfn.SWITCH($J382,"M","Medium","L","Light","D","Dark")</f>
        <v>Dark</v>
      </c>
      <c r="P382" t="str">
        <f>_xlfn.XLOOKUP(Table1[[#This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IF(_xlfn.XLOOKUP(C383,customers!$A$1:$A$1001,customers!$C$1:$C$1001,,0)=0,"Not _Provided",_xlfn.XLOOKUP(C383,customers!$A$1:$A$1001,customers!$C$1:$C$1001,,0))</f>
        <v>pbessal@qq.com</v>
      </c>
      <c r="H383" s="2" t="str">
        <f>_xlfn.XLOOKUP(C383,customers!$A$1:$A$1001,customers!$G$1:$G$1001,,0)</f>
        <v>United States</v>
      </c>
      <c r="I383" t="str">
        <f>INDEX(products!$B$1:$B$49,MATCH($D383,products!$A$1:$A$49,0))</f>
        <v>Ara</v>
      </c>
      <c r="J383" t="str">
        <f>INDEX(products!$C$1:$C$49,MATCH($D383,products!$A$1:$A$49,0))</f>
        <v>D</v>
      </c>
      <c r="K383" s="4">
        <f>INDEX(products!$D$1:$D$49,MATCH($D383,products!$A$1:$A$49,0))</f>
        <v>0.2</v>
      </c>
      <c r="L383" s="5">
        <f>INDEX(products!$E$1:$E$49,MATCH($D383,products!$A$1:$A$49,0))</f>
        <v>2.9849999999999999</v>
      </c>
      <c r="M383" s="5">
        <f t="shared" si="5"/>
        <v>14.924999999999999</v>
      </c>
      <c r="N383" t="str" cm="1">
        <f t="array" ref="N383">_xlfn.IFS(I383="Rob","Robusta",I383="Exc","Excelsa",I383="Ara","Arabica",I383="Lib","Liberica")</f>
        <v>Arabica</v>
      </c>
      <c r="O383" t="str" cm="1">
        <f t="array" ref="O383">_xlfn.SWITCH($J383,"M","Medium","L","Light","D","Dark")</f>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IF(_xlfn.XLOOKUP(C384,customers!$A$1:$A$1001,customers!$C$1:$C$1001,,0)=0,"Not _Provided",_xlfn.XLOOKUP(C384,customers!$A$1:$A$1001,customers!$C$1:$C$1001,,0))</f>
        <v>ewindressam@marketwatch.com</v>
      </c>
      <c r="H384" s="2" t="str">
        <f>_xlfn.XLOOKUP(C384,customers!$A$1:$A$1001,customers!$G$1:$G$1001,,0)</f>
        <v>United States</v>
      </c>
      <c r="I384" t="str">
        <f>INDEX(products!$B$1:$B$49,MATCH($D384,products!$A$1:$A$49,0))</f>
        <v>Exc</v>
      </c>
      <c r="J384" t="str">
        <f>INDEX(products!$C$1:$C$49,MATCH($D384,products!$A$1:$A$49,0))</f>
        <v>D</v>
      </c>
      <c r="K384" s="4">
        <f>INDEX(products!$D$1:$D$49,MATCH($D384,products!$A$1:$A$49,0))</f>
        <v>0.5</v>
      </c>
      <c r="L384" s="5">
        <f>INDEX(products!$E$1:$E$49,MATCH($D384,products!$A$1:$A$49,0))</f>
        <v>7.29</v>
      </c>
      <c r="M384" s="5">
        <f t="shared" si="5"/>
        <v>21.87</v>
      </c>
      <c r="N384" t="str" cm="1">
        <f t="array" ref="N384">_xlfn.IFS(I384="Rob","Robusta",I384="Exc","Excelsa",I384="Ara","Arabica",I384="Lib","Liberica")</f>
        <v>Excelsa</v>
      </c>
      <c r="O384" t="str" cm="1">
        <f t="array" ref="O384">_xlfn.SWITCH($J384,"M","Medium","L","Light","D","Dark")</f>
        <v>Dark</v>
      </c>
      <c r="P384" t="str">
        <f>_xlfn.XLOOKUP(Table1[[#This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IF(_xlfn.XLOOKUP(C385,customers!$A$1:$A$1001,customers!$C$1:$C$1001,,0)=0,"Not _Provided",_xlfn.XLOOKUP(C385,customers!$A$1:$A$1001,customers!$C$1:$C$1001,,0))</f>
        <v>Not _Provided</v>
      </c>
      <c r="H385" s="2" t="str">
        <f>_xlfn.XLOOKUP(C385,customers!$A$1:$A$1001,customers!$G$1:$G$1001,,0)</f>
        <v>United States</v>
      </c>
      <c r="I385" t="str">
        <f>INDEX(products!$B$1:$B$49,MATCH($D385,products!$A$1:$A$49,0))</f>
        <v>Exc</v>
      </c>
      <c r="J385" t="str">
        <f>INDEX(products!$C$1:$C$49,MATCH($D385,products!$A$1:$A$49,0))</f>
        <v>L</v>
      </c>
      <c r="K385" s="4">
        <f>INDEX(products!$D$1:$D$49,MATCH($D385,products!$A$1:$A$49,0))</f>
        <v>0.5</v>
      </c>
      <c r="L385" s="5">
        <f>INDEX(products!$E$1:$E$49,MATCH($D385,products!$A$1:$A$49,0))</f>
        <v>8.91</v>
      </c>
      <c r="M385" s="5">
        <f t="shared" si="5"/>
        <v>53.46</v>
      </c>
      <c r="N385" t="str" cm="1">
        <f t="array" ref="N385">_xlfn.IFS(I385="Rob","Robusta",I385="Exc","Excelsa",I385="Ara","Arabica",I385="Lib","Liberica")</f>
        <v>Excelsa</v>
      </c>
      <c r="O385" t="str" cm="1">
        <f t="array" ref="O385">_xlfn.SWITCH($J385,"M","Medium","L","Light","D","Dark")</f>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IF(_xlfn.XLOOKUP(C386,customers!$A$1:$A$1001,customers!$C$1:$C$1001,,0)=0,"Not _Provided",_xlfn.XLOOKUP(C386,customers!$A$1:$A$1001,customers!$C$1:$C$1001,,0))</f>
        <v>Not _Provided</v>
      </c>
      <c r="H386" s="2" t="str">
        <f>_xlfn.XLOOKUP(C386,customers!$A$1:$A$1001,customers!$G$1:$G$1001,,0)</f>
        <v>United States</v>
      </c>
      <c r="I386" t="str">
        <f>INDEX(products!$B$1:$B$49,MATCH($D386,products!$A$1:$A$49,0))</f>
        <v>Ara</v>
      </c>
      <c r="J386" t="str">
        <f>INDEX(products!$C$1:$C$49,MATCH($D386,products!$A$1:$A$49,0))</f>
        <v>L</v>
      </c>
      <c r="K386" s="4">
        <f>INDEX(products!$D$1:$D$49,MATCH($D386,products!$A$1:$A$49,0))</f>
        <v>2.5</v>
      </c>
      <c r="L386" s="5">
        <f>INDEX(products!$E$1:$E$49,MATCH($D386,products!$A$1:$A$49,0))</f>
        <v>29.784999999999997</v>
      </c>
      <c r="M386" s="5">
        <f t="shared" si="5"/>
        <v>119.13999999999999</v>
      </c>
      <c r="N386" t="str" cm="1">
        <f t="array" ref="N386">_xlfn.IFS(I386="Rob","Robusta",I386="Exc","Excelsa",I386="Ara","Arabica",I386="Lib","Liberica")</f>
        <v>Arabica</v>
      </c>
      <c r="O386" t="str" cm="1">
        <f t="array" ref="O386">_xlfn.SWITCH($J386,"M","Medium","L","Light","D","Dark")</f>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IF(_xlfn.XLOOKUP(C387,customers!$A$1:$A$1001,customers!$C$1:$C$1001,,0)=0,"Not _Provided",_xlfn.XLOOKUP(C387,customers!$A$1:$A$1001,customers!$C$1:$C$1001,,0))</f>
        <v>vbaumadierap@google.cn</v>
      </c>
      <c r="H387" s="2" t="str">
        <f>_xlfn.XLOOKUP(C387,customers!$A$1:$A$1001,customers!$G$1:$G$1001,,0)</f>
        <v>United States</v>
      </c>
      <c r="I387" t="str">
        <f>INDEX(products!$B$1:$B$49,MATCH($D387,products!$A$1:$A$49,0))</f>
        <v>Lib</v>
      </c>
      <c r="J387" t="str">
        <f>INDEX(products!$C$1:$C$49,MATCH($D387,products!$A$1:$A$49,0))</f>
        <v>M</v>
      </c>
      <c r="K387" s="4">
        <f>INDEX(products!$D$1:$D$49,MATCH($D387,products!$A$1:$A$49,0))</f>
        <v>0.5</v>
      </c>
      <c r="L387" s="5">
        <f>INDEX(products!$E$1:$E$49,MATCH($D387,products!$A$1:$A$49,0))</f>
        <v>8.73</v>
      </c>
      <c r="M387" s="5">
        <f t="shared" ref="M387:M450" si="6">E387*L387</f>
        <v>43.650000000000006</v>
      </c>
      <c r="N387" t="str" cm="1">
        <f t="array" ref="N387">_xlfn.IFS(I387="Rob","Robusta",I387="Exc","Excelsa",I387="Ara","Arabica",I387="Lib","Liberica")</f>
        <v>Liberica</v>
      </c>
      <c r="O387" t="str" cm="1">
        <f t="array" ref="O387">_xlfn.SWITCH($J387,"M","Medium","L","Light","D","Dark")</f>
        <v>Medium</v>
      </c>
      <c r="P387" t="str">
        <f>_xlfn.XLOOKUP(Table1[[#This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IF(_xlfn.XLOOKUP(C388,customers!$A$1:$A$1001,customers!$C$1:$C$1001,,0)=0,"Not _Provided",_xlfn.XLOOKUP(C388,customers!$A$1:$A$1001,customers!$C$1:$C$1001,,0))</f>
        <v>Not _Provided</v>
      </c>
      <c r="H388" s="2" t="str">
        <f>_xlfn.XLOOKUP(C388,customers!$A$1:$A$1001,customers!$G$1:$G$1001,,0)</f>
        <v>United States</v>
      </c>
      <c r="I388" t="str">
        <f>INDEX(products!$B$1:$B$49,MATCH($D388,products!$A$1:$A$49,0))</f>
        <v>Ara</v>
      </c>
      <c r="J388" t="str">
        <f>INDEX(products!$C$1:$C$49,MATCH($D388,products!$A$1:$A$49,0))</f>
        <v>D</v>
      </c>
      <c r="K388" s="4">
        <f>INDEX(products!$D$1:$D$49,MATCH($D388,products!$A$1:$A$49,0))</f>
        <v>0.2</v>
      </c>
      <c r="L388" s="5">
        <f>INDEX(products!$E$1:$E$49,MATCH($D388,products!$A$1:$A$49,0))</f>
        <v>2.9849999999999999</v>
      </c>
      <c r="M388" s="5">
        <f t="shared" si="6"/>
        <v>17.91</v>
      </c>
      <c r="N388" t="str" cm="1">
        <f t="array" ref="N388">_xlfn.IFS(I388="Rob","Robusta",I388="Exc","Excelsa",I388="Ara","Arabica",I388="Lib","Liberica")</f>
        <v>Arabica</v>
      </c>
      <c r="O388" t="str" cm="1">
        <f t="array" ref="O388">_xlfn.SWITCH($J388,"M","Medium","L","Light","D","Dark")</f>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IF(_xlfn.XLOOKUP(C389,customers!$A$1:$A$1001,customers!$C$1:$C$1001,,0)=0,"Not _Provided",_xlfn.XLOOKUP(C389,customers!$A$1:$A$1001,customers!$C$1:$C$1001,,0))</f>
        <v>sweldsar@wired.com</v>
      </c>
      <c r="H389" s="2" t="str">
        <f>_xlfn.XLOOKUP(C389,customers!$A$1:$A$1001,customers!$G$1:$G$1001,,0)</f>
        <v>United States</v>
      </c>
      <c r="I389" t="str">
        <f>INDEX(products!$B$1:$B$49,MATCH($D389,products!$A$1:$A$49,0))</f>
        <v>Exc</v>
      </c>
      <c r="J389" t="str">
        <f>INDEX(products!$C$1:$C$49,MATCH($D389,products!$A$1:$A$49,0))</f>
        <v>L</v>
      </c>
      <c r="K389" s="4">
        <f>INDEX(products!$D$1:$D$49,MATCH($D389,products!$A$1:$A$49,0))</f>
        <v>1</v>
      </c>
      <c r="L389" s="5">
        <f>INDEX(products!$E$1:$E$49,MATCH($D389,products!$A$1:$A$49,0))</f>
        <v>14.85</v>
      </c>
      <c r="M389" s="5">
        <f t="shared" si="6"/>
        <v>74.25</v>
      </c>
      <c r="N389" t="str" cm="1">
        <f t="array" ref="N389">_xlfn.IFS(I389="Rob","Robusta",I389="Exc","Excelsa",I389="Ara","Arabica",I389="Lib","Liberica")</f>
        <v>Excelsa</v>
      </c>
      <c r="O389" t="str" cm="1">
        <f t="array" ref="O389">_xlfn.SWITCH($J389,"M","Medium","L","Light","D","Dark")</f>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IF(_xlfn.XLOOKUP(C390,customers!$A$1:$A$1001,customers!$C$1:$C$1001,,0)=0,"Not _Provided",_xlfn.XLOOKUP(C390,customers!$A$1:$A$1001,customers!$C$1:$C$1001,,0))</f>
        <v>msarvaras@artisteer.com</v>
      </c>
      <c r="H390" s="2" t="str">
        <f>_xlfn.XLOOKUP(C390,customers!$A$1:$A$1001,customers!$G$1:$G$1001,,0)</f>
        <v>United States</v>
      </c>
      <c r="I390" t="str">
        <f>INDEX(products!$B$1:$B$49,MATCH($D390,products!$A$1:$A$49,0))</f>
        <v>Lib</v>
      </c>
      <c r="J390" t="str">
        <f>INDEX(products!$C$1:$C$49,MATCH($D390,products!$A$1:$A$49,0))</f>
        <v>D</v>
      </c>
      <c r="K390" s="4">
        <f>INDEX(products!$D$1:$D$49,MATCH($D390,products!$A$1:$A$49,0))</f>
        <v>0.2</v>
      </c>
      <c r="L390" s="5">
        <f>INDEX(products!$E$1:$E$49,MATCH($D390,products!$A$1:$A$49,0))</f>
        <v>3.8849999999999998</v>
      </c>
      <c r="M390" s="5">
        <f t="shared" si="6"/>
        <v>11.654999999999999</v>
      </c>
      <c r="N390" t="str" cm="1">
        <f t="array" ref="N390">_xlfn.IFS(I390="Rob","Robusta",I390="Exc","Excelsa",I390="Ara","Arabica",I390="Lib","Liberica")</f>
        <v>Liberica</v>
      </c>
      <c r="O390" t="str" cm="1">
        <f t="array" ref="O390">_xlfn.SWITCH($J390,"M","Medium","L","Light","D","Dark")</f>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IF(_xlfn.XLOOKUP(C391,customers!$A$1:$A$1001,customers!$C$1:$C$1001,,0)=0,"Not _Provided",_xlfn.XLOOKUP(C391,customers!$A$1:$A$1001,customers!$C$1:$C$1001,,0))</f>
        <v>ahavickat@nsw.gov.au</v>
      </c>
      <c r="H391" s="2" t="str">
        <f>_xlfn.XLOOKUP(C391,customers!$A$1:$A$1001,customers!$G$1:$G$1001,,0)</f>
        <v>United States</v>
      </c>
      <c r="I391" t="str">
        <f>INDEX(products!$B$1:$B$49,MATCH($D391,products!$A$1:$A$49,0))</f>
        <v>Lib</v>
      </c>
      <c r="J391" t="str">
        <f>INDEX(products!$C$1:$C$49,MATCH($D391,products!$A$1:$A$49,0))</f>
        <v>D</v>
      </c>
      <c r="K391" s="4">
        <f>INDEX(products!$D$1:$D$49,MATCH($D391,products!$A$1:$A$49,0))</f>
        <v>0.5</v>
      </c>
      <c r="L391" s="5">
        <f>INDEX(products!$E$1:$E$49,MATCH($D391,products!$A$1:$A$49,0))</f>
        <v>7.77</v>
      </c>
      <c r="M391" s="5">
        <f t="shared" si="6"/>
        <v>23.31</v>
      </c>
      <c r="N391" t="str" cm="1">
        <f t="array" ref="N391">_xlfn.IFS(I391="Rob","Robusta",I391="Exc","Excelsa",I391="Ara","Arabica",I391="Lib","Liberica")</f>
        <v>Liberica</v>
      </c>
      <c r="O391" t="str" cm="1">
        <f t="array" ref="O391">_xlfn.SWITCH($J391,"M","Medium","L","Light","D","Dark")</f>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IF(_xlfn.XLOOKUP(C392,customers!$A$1:$A$1001,customers!$C$1:$C$1001,,0)=0,"Not _Provided",_xlfn.XLOOKUP(C392,customers!$A$1:$A$1001,customers!$C$1:$C$1001,,0))</f>
        <v>sdivinyau@ask.com</v>
      </c>
      <c r="H392" s="2" t="str">
        <f>_xlfn.XLOOKUP(C392,customers!$A$1:$A$1001,customers!$G$1:$G$1001,,0)</f>
        <v>United States</v>
      </c>
      <c r="I392" t="str">
        <f>INDEX(products!$B$1:$B$49,MATCH($D392,products!$A$1:$A$49,0))</f>
        <v>Exc</v>
      </c>
      <c r="J392" t="str">
        <f>INDEX(products!$C$1:$C$49,MATCH($D392,products!$A$1:$A$49,0))</f>
        <v>D</v>
      </c>
      <c r="K392" s="4">
        <f>INDEX(products!$D$1:$D$49,MATCH($D392,products!$A$1:$A$49,0))</f>
        <v>0.5</v>
      </c>
      <c r="L392" s="5">
        <f>INDEX(products!$E$1:$E$49,MATCH($D392,products!$A$1:$A$49,0))</f>
        <v>7.29</v>
      </c>
      <c r="M392" s="5">
        <f t="shared" si="6"/>
        <v>14.58</v>
      </c>
      <c r="N392" t="str" cm="1">
        <f t="array" ref="N392">_xlfn.IFS(I392="Rob","Robusta",I392="Exc","Excelsa",I392="Ara","Arabica",I392="Lib","Liberica")</f>
        <v>Excelsa</v>
      </c>
      <c r="O392" t="str" cm="1">
        <f t="array" ref="O392">_xlfn.SWITCH($J392,"M","Medium","L","Light","D","Dark")</f>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IF(_xlfn.XLOOKUP(C393,customers!$A$1:$A$1001,customers!$C$1:$C$1001,,0)=0,"Not _Provided",_xlfn.XLOOKUP(C393,customers!$A$1:$A$1001,customers!$C$1:$C$1001,,0))</f>
        <v>inorquoyav@businessweek.com</v>
      </c>
      <c r="H393" s="2" t="str">
        <f>_xlfn.XLOOKUP(C393,customers!$A$1:$A$1001,customers!$G$1:$G$1001,,0)</f>
        <v>United States</v>
      </c>
      <c r="I393" t="str">
        <f>INDEX(products!$B$1:$B$49,MATCH($D393,products!$A$1:$A$49,0))</f>
        <v>Ara</v>
      </c>
      <c r="J393" t="str">
        <f>INDEX(products!$C$1:$C$49,MATCH($D393,products!$A$1:$A$49,0))</f>
        <v>M</v>
      </c>
      <c r="K393" s="4">
        <f>INDEX(products!$D$1:$D$49,MATCH($D393,products!$A$1:$A$49,0))</f>
        <v>0.5</v>
      </c>
      <c r="L393" s="5">
        <f>INDEX(products!$E$1:$E$49,MATCH($D393,products!$A$1:$A$49,0))</f>
        <v>6.75</v>
      </c>
      <c r="M393" s="5">
        <f t="shared" si="6"/>
        <v>13.5</v>
      </c>
      <c r="N393" t="str" cm="1">
        <f t="array" ref="N393">_xlfn.IFS(I393="Rob","Robusta",I393="Exc","Excelsa",I393="Ara","Arabica",I393="Lib","Liberica")</f>
        <v>Arabica</v>
      </c>
      <c r="O393" t="str" cm="1">
        <f t="array" ref="O393">_xlfn.SWITCH($J393,"M","Medium","L","Light","D","Dark")</f>
        <v>Medium</v>
      </c>
      <c r="P393" t="str">
        <f>_xlfn.XLOOKUP(Table1[[#This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IF(_xlfn.XLOOKUP(C394,customers!$A$1:$A$1001,customers!$C$1:$C$1001,,0)=0,"Not _Provided",_xlfn.XLOOKUP(C394,customers!$A$1:$A$1001,customers!$C$1:$C$1001,,0))</f>
        <v>aiddisonaw@usa.gov</v>
      </c>
      <c r="H394" s="2" t="str">
        <f>_xlfn.XLOOKUP(C394,customers!$A$1:$A$1001,customers!$G$1:$G$1001,,0)</f>
        <v>United States</v>
      </c>
      <c r="I394" t="str">
        <f>INDEX(products!$B$1:$B$49,MATCH($D394,products!$A$1:$A$49,0))</f>
        <v>Exc</v>
      </c>
      <c r="J394" t="str">
        <f>INDEX(products!$C$1:$C$49,MATCH($D394,products!$A$1:$A$49,0))</f>
        <v>L</v>
      </c>
      <c r="K394" s="4">
        <f>INDEX(products!$D$1:$D$49,MATCH($D394,products!$A$1:$A$49,0))</f>
        <v>1</v>
      </c>
      <c r="L394" s="5">
        <f>INDEX(products!$E$1:$E$49,MATCH($D394,products!$A$1:$A$49,0))</f>
        <v>14.85</v>
      </c>
      <c r="M394" s="5">
        <f t="shared" si="6"/>
        <v>89.1</v>
      </c>
      <c r="N394" t="str" cm="1">
        <f t="array" ref="N394">_xlfn.IFS(I394="Rob","Robusta",I394="Exc","Excelsa",I394="Ara","Arabica",I394="Lib","Liberica")</f>
        <v>Excelsa</v>
      </c>
      <c r="O394" t="str" cm="1">
        <f t="array" ref="O394">_xlfn.SWITCH($J394,"M","Medium","L","Light","D","Dark")</f>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IF(_xlfn.XLOOKUP(C395,customers!$A$1:$A$1001,customers!$C$1:$C$1001,,0)=0,"Not _Provided",_xlfn.XLOOKUP(C395,customers!$A$1:$A$1001,customers!$C$1:$C$1001,,0))</f>
        <v>aiddisonaw@usa.gov</v>
      </c>
      <c r="H395" s="2" t="str">
        <f>_xlfn.XLOOKUP(C395,customers!$A$1:$A$1001,customers!$G$1:$G$1001,,0)</f>
        <v>United States</v>
      </c>
      <c r="I395" t="str">
        <f>INDEX(products!$B$1:$B$49,MATCH($D395,products!$A$1:$A$49,0))</f>
        <v>Ara</v>
      </c>
      <c r="J395" t="str">
        <f>INDEX(products!$C$1:$C$49,MATCH($D395,products!$A$1:$A$49,0))</f>
        <v>L</v>
      </c>
      <c r="K395" s="4">
        <f>INDEX(products!$D$1:$D$49,MATCH($D395,products!$A$1:$A$49,0))</f>
        <v>0.2</v>
      </c>
      <c r="L395" s="5">
        <f>INDEX(products!$E$1:$E$49,MATCH($D395,products!$A$1:$A$49,0))</f>
        <v>3.8849999999999998</v>
      </c>
      <c r="M395" s="5">
        <f t="shared" si="6"/>
        <v>3.8849999999999998</v>
      </c>
      <c r="N395" t="str" cm="1">
        <f t="array" ref="N395">_xlfn.IFS(I395="Rob","Robusta",I395="Exc","Excelsa",I395="Ara","Arabica",I395="Lib","Liberica")</f>
        <v>Arabica</v>
      </c>
      <c r="O395" t="str" cm="1">
        <f t="array" ref="O395">_xlfn.SWITCH($J395,"M","Medium","L","Light","D","Dark")</f>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IF(_xlfn.XLOOKUP(C396,customers!$A$1:$A$1001,customers!$C$1:$C$1001,,0)=0,"Not _Provided",_xlfn.XLOOKUP(C396,customers!$A$1:$A$1001,customers!$C$1:$C$1001,,0))</f>
        <v>rlongfielday@bluehost.com</v>
      </c>
      <c r="H396" s="2" t="str">
        <f>_xlfn.XLOOKUP(C396,customers!$A$1:$A$1001,customers!$G$1:$G$1001,,0)</f>
        <v>United States</v>
      </c>
      <c r="I396" t="str">
        <f>INDEX(products!$B$1:$B$49,MATCH($D396,products!$A$1:$A$49,0))</f>
        <v>Rob</v>
      </c>
      <c r="J396" t="str">
        <f>INDEX(products!$C$1:$C$49,MATCH($D396,products!$A$1:$A$49,0))</f>
        <v>L</v>
      </c>
      <c r="K396" s="4">
        <f>INDEX(products!$D$1:$D$49,MATCH($D396,products!$A$1:$A$49,0))</f>
        <v>2.5</v>
      </c>
      <c r="L396" s="5">
        <f>INDEX(products!$E$1:$E$49,MATCH($D396,products!$A$1:$A$49,0))</f>
        <v>27.484999999999996</v>
      </c>
      <c r="M396" s="5">
        <f t="shared" si="6"/>
        <v>109.93999999999998</v>
      </c>
      <c r="N396" t="str" cm="1">
        <f t="array" ref="N396">_xlfn.IFS(I396="Rob","Robusta",I396="Exc","Excelsa",I396="Ara","Arabica",I396="Lib","Liberica")</f>
        <v>Robusta</v>
      </c>
      <c r="O396" t="str" cm="1">
        <f t="array" ref="O396">_xlfn.SWITCH($J396,"M","Medium","L","Light","D","Dark")</f>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IF(_xlfn.XLOOKUP(C397,customers!$A$1:$A$1001,customers!$C$1:$C$1001,,0)=0,"Not _Provided",_xlfn.XLOOKUP(C397,customers!$A$1:$A$1001,customers!$C$1:$C$1001,,0))</f>
        <v>gkislingburyaz@samsung.com</v>
      </c>
      <c r="H397" s="2" t="str">
        <f>_xlfn.XLOOKUP(C397,customers!$A$1:$A$1001,customers!$G$1:$G$1001,,0)</f>
        <v>United States</v>
      </c>
      <c r="I397" t="str">
        <f>INDEX(products!$B$1:$B$49,MATCH($D397,products!$A$1:$A$49,0))</f>
        <v>Lib</v>
      </c>
      <c r="J397" t="str">
        <f>INDEX(products!$C$1:$C$49,MATCH($D397,products!$A$1:$A$49,0))</f>
        <v>D</v>
      </c>
      <c r="K397" s="4">
        <f>INDEX(products!$D$1:$D$49,MATCH($D397,products!$A$1:$A$49,0))</f>
        <v>0.5</v>
      </c>
      <c r="L397" s="5">
        <f>INDEX(products!$E$1:$E$49,MATCH($D397,products!$A$1:$A$49,0))</f>
        <v>7.77</v>
      </c>
      <c r="M397" s="5">
        <f t="shared" si="6"/>
        <v>46.62</v>
      </c>
      <c r="N397" t="str" cm="1">
        <f t="array" ref="N397">_xlfn.IFS(I397="Rob","Robusta",I397="Exc","Excelsa",I397="Ara","Arabica",I397="Lib","Liberica")</f>
        <v>Liberica</v>
      </c>
      <c r="O397" t="str" cm="1">
        <f t="array" ref="O397">_xlfn.SWITCH($J397,"M","Medium","L","Light","D","Dark")</f>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IF(_xlfn.XLOOKUP(C398,customers!$A$1:$A$1001,customers!$C$1:$C$1001,,0)=0,"Not _Provided",_xlfn.XLOOKUP(C398,customers!$A$1:$A$1001,customers!$C$1:$C$1001,,0))</f>
        <v>xgibbonsb0@artisteer.com</v>
      </c>
      <c r="H398" s="2" t="str">
        <f>_xlfn.XLOOKUP(C398,customers!$A$1:$A$1001,customers!$G$1:$G$1001,,0)</f>
        <v>United States</v>
      </c>
      <c r="I398" t="str">
        <f>INDEX(products!$B$1:$B$49,MATCH($D398,products!$A$1:$A$49,0))</f>
        <v>Ara</v>
      </c>
      <c r="J398" t="str">
        <f>INDEX(products!$C$1:$C$49,MATCH($D398,products!$A$1:$A$49,0))</f>
        <v>L</v>
      </c>
      <c r="K398" s="4">
        <f>INDEX(products!$D$1:$D$49,MATCH($D398,products!$A$1:$A$49,0))</f>
        <v>0.5</v>
      </c>
      <c r="L398" s="5">
        <f>INDEX(products!$E$1:$E$49,MATCH($D398,products!$A$1:$A$49,0))</f>
        <v>7.77</v>
      </c>
      <c r="M398" s="5">
        <f t="shared" si="6"/>
        <v>38.849999999999994</v>
      </c>
      <c r="N398" t="str" cm="1">
        <f t="array" ref="N398">_xlfn.IFS(I398="Rob","Robusta",I398="Exc","Excelsa",I398="Ara","Arabica",I398="Lib","Liberica")</f>
        <v>Arabica</v>
      </c>
      <c r="O398" t="str" cm="1">
        <f t="array" ref="O398">_xlfn.SWITCH($J398,"M","Medium","L","Light","D","Dark")</f>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IF(_xlfn.XLOOKUP(C399,customers!$A$1:$A$1001,customers!$C$1:$C$1001,,0)=0,"Not _Provided",_xlfn.XLOOKUP(C399,customers!$A$1:$A$1001,customers!$C$1:$C$1001,,0))</f>
        <v>fparresb1@imageshack.us</v>
      </c>
      <c r="H399" s="2" t="str">
        <f>_xlfn.XLOOKUP(C399,customers!$A$1:$A$1001,customers!$G$1:$G$1001,,0)</f>
        <v>United States</v>
      </c>
      <c r="I399" t="str">
        <f>INDEX(products!$B$1:$B$49,MATCH($D399,products!$A$1:$A$49,0))</f>
        <v>Lib</v>
      </c>
      <c r="J399" t="str">
        <f>INDEX(products!$C$1:$C$49,MATCH($D399,products!$A$1:$A$49,0))</f>
        <v>D</v>
      </c>
      <c r="K399" s="4">
        <f>INDEX(products!$D$1:$D$49,MATCH($D399,products!$A$1:$A$49,0))</f>
        <v>0.5</v>
      </c>
      <c r="L399" s="5">
        <f>INDEX(products!$E$1:$E$49,MATCH($D399,products!$A$1:$A$49,0))</f>
        <v>7.77</v>
      </c>
      <c r="M399" s="5">
        <f t="shared" si="6"/>
        <v>31.08</v>
      </c>
      <c r="N399" t="str" cm="1">
        <f t="array" ref="N399">_xlfn.IFS(I399="Rob","Robusta",I399="Exc","Excelsa",I399="Ara","Arabica",I399="Lib","Liberica")</f>
        <v>Liberica</v>
      </c>
      <c r="O399" t="str" cm="1">
        <f t="array" ref="O399">_xlfn.SWITCH($J399,"M","Medium","L","Light","D","Dark")</f>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IF(_xlfn.XLOOKUP(C400,customers!$A$1:$A$1001,customers!$C$1:$C$1001,,0)=0,"Not _Provided",_xlfn.XLOOKUP(C400,customers!$A$1:$A$1001,customers!$C$1:$C$1001,,0))</f>
        <v>gsibrayb2@wsj.com</v>
      </c>
      <c r="H400" s="2" t="str">
        <f>_xlfn.XLOOKUP(C400,customers!$A$1:$A$1001,customers!$G$1:$G$1001,,0)</f>
        <v>United States</v>
      </c>
      <c r="I400" t="str">
        <f>INDEX(products!$B$1:$B$49,MATCH($D400,products!$A$1:$A$49,0))</f>
        <v>Ara</v>
      </c>
      <c r="J400" t="str">
        <f>INDEX(products!$C$1:$C$49,MATCH($D400,products!$A$1:$A$49,0))</f>
        <v>D</v>
      </c>
      <c r="K400" s="4">
        <f>INDEX(products!$D$1:$D$49,MATCH($D400,products!$A$1:$A$49,0))</f>
        <v>0.2</v>
      </c>
      <c r="L400" s="5">
        <f>INDEX(products!$E$1:$E$49,MATCH($D400,products!$A$1:$A$49,0))</f>
        <v>2.9849999999999999</v>
      </c>
      <c r="M400" s="5">
        <f t="shared" si="6"/>
        <v>17.91</v>
      </c>
      <c r="N400" t="str" cm="1">
        <f t="array" ref="N400">_xlfn.IFS(I400="Rob","Robusta",I400="Exc","Excelsa",I400="Ara","Arabica",I400="Lib","Liberica")</f>
        <v>Arabica</v>
      </c>
      <c r="O400" t="str" cm="1">
        <f t="array" ref="O400">_xlfn.SWITCH($J400,"M","Medium","L","Light","D","Dark")</f>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IF(_xlfn.XLOOKUP(C401,customers!$A$1:$A$1001,customers!$C$1:$C$1001,,0)=0,"Not _Provided",_xlfn.XLOOKUP(C401,customers!$A$1:$A$1001,customers!$C$1:$C$1001,,0))</f>
        <v>ihotchkinb3@mit.edu</v>
      </c>
      <c r="H401" s="2" t="str">
        <f>_xlfn.XLOOKUP(C401,customers!$A$1:$A$1001,customers!$G$1:$G$1001,,0)</f>
        <v>United Kingdom</v>
      </c>
      <c r="I401" t="str">
        <f>INDEX(products!$B$1:$B$49,MATCH($D401,products!$A$1:$A$49,0))</f>
        <v>Exc</v>
      </c>
      <c r="J401" t="str">
        <f>INDEX(products!$C$1:$C$49,MATCH($D401,products!$A$1:$A$49,0))</f>
        <v>D</v>
      </c>
      <c r="K401" s="4">
        <f>INDEX(products!$D$1:$D$49,MATCH($D401,products!$A$1:$A$49,0))</f>
        <v>2.5</v>
      </c>
      <c r="L401" s="5">
        <f>INDEX(products!$E$1:$E$49,MATCH($D401,products!$A$1:$A$49,0))</f>
        <v>27.945</v>
      </c>
      <c r="M401" s="5">
        <f t="shared" si="6"/>
        <v>167.67000000000002</v>
      </c>
      <c r="N401" t="str" cm="1">
        <f t="array" ref="N401">_xlfn.IFS(I401="Rob","Robusta",I401="Exc","Excelsa",I401="Ara","Arabica",I401="Lib","Liberica")</f>
        <v>Excelsa</v>
      </c>
      <c r="O401" t="str" cm="1">
        <f t="array" ref="O401">_xlfn.SWITCH($J401,"M","Medium","L","Light","D","Dark")</f>
        <v>Dark</v>
      </c>
      <c r="P401" t="str">
        <f>_xlfn.XLOOKUP(Table1[[#This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IF(_xlfn.XLOOKUP(C402,customers!$A$1:$A$1001,customers!$C$1:$C$1001,,0)=0,"Not _Provided",_xlfn.XLOOKUP(C402,customers!$A$1:$A$1001,customers!$C$1:$C$1001,,0))</f>
        <v>nbroadberrieb4@gnu.org</v>
      </c>
      <c r="H402" s="2" t="str">
        <f>_xlfn.XLOOKUP(C402,customers!$A$1:$A$1001,customers!$G$1:$G$1001,,0)</f>
        <v>United States</v>
      </c>
      <c r="I402" t="str">
        <f>INDEX(products!$B$1:$B$49,MATCH($D402,products!$A$1:$A$49,0))</f>
        <v>Lib</v>
      </c>
      <c r="J402" t="str">
        <f>INDEX(products!$C$1:$C$49,MATCH($D402,products!$A$1:$A$49,0))</f>
        <v>L</v>
      </c>
      <c r="K402" s="4">
        <f>INDEX(products!$D$1:$D$49,MATCH($D402,products!$A$1:$A$49,0))</f>
        <v>1</v>
      </c>
      <c r="L402" s="5">
        <f>INDEX(products!$E$1:$E$49,MATCH($D402,products!$A$1:$A$49,0))</f>
        <v>15.85</v>
      </c>
      <c r="M402" s="5">
        <f t="shared" si="6"/>
        <v>63.4</v>
      </c>
      <c r="N402" t="str" cm="1">
        <f t="array" ref="N402">_xlfn.IFS(I402="Rob","Robusta",I402="Exc","Excelsa",I402="Ara","Arabica",I402="Lib","Liberica")</f>
        <v>Liberica</v>
      </c>
      <c r="O402" t="str" cm="1">
        <f t="array" ref="O402">_xlfn.SWITCH($J402,"M","Medium","L","Light","D","Dark")</f>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IF(_xlfn.XLOOKUP(C403,customers!$A$1:$A$1001,customers!$C$1:$C$1001,,0)=0,"Not _Provided",_xlfn.XLOOKUP(C403,customers!$A$1:$A$1001,customers!$C$1:$C$1001,,0))</f>
        <v>rpithcockb5@yellowbook.com</v>
      </c>
      <c r="H403" s="2" t="str">
        <f>_xlfn.XLOOKUP(C403,customers!$A$1:$A$1001,customers!$G$1:$G$1001,,0)</f>
        <v>United States</v>
      </c>
      <c r="I403" t="str">
        <f>INDEX(products!$B$1:$B$49,MATCH($D403,products!$A$1:$A$49,0))</f>
        <v>Lib</v>
      </c>
      <c r="J403" t="str">
        <f>INDEX(products!$C$1:$C$49,MATCH($D403,products!$A$1:$A$49,0))</f>
        <v>M</v>
      </c>
      <c r="K403" s="4">
        <f>INDEX(products!$D$1:$D$49,MATCH($D403,products!$A$1:$A$49,0))</f>
        <v>0.2</v>
      </c>
      <c r="L403" s="5">
        <f>INDEX(products!$E$1:$E$49,MATCH($D403,products!$A$1:$A$49,0))</f>
        <v>4.3650000000000002</v>
      </c>
      <c r="M403" s="5">
        <f t="shared" si="6"/>
        <v>8.73</v>
      </c>
      <c r="N403" t="str" cm="1">
        <f t="array" ref="N403">_xlfn.IFS(I403="Rob","Robusta",I403="Exc","Excelsa",I403="Ara","Arabica",I403="Lib","Liberica")</f>
        <v>Liberica</v>
      </c>
      <c r="O403" t="str" cm="1">
        <f t="array" ref="O403">_xlfn.SWITCH($J403,"M","Medium","L","Light","D","Dark")</f>
        <v>Medium</v>
      </c>
      <c r="P403" t="str">
        <f>_xlfn.XLOOKUP(Table1[[#This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IF(_xlfn.XLOOKUP(C404,customers!$A$1:$A$1001,customers!$C$1:$C$1001,,0)=0,"Not _Provided",_xlfn.XLOOKUP(C404,customers!$A$1:$A$1001,customers!$C$1:$C$1001,,0))</f>
        <v>gcroysdaleb6@nih.gov</v>
      </c>
      <c r="H404" s="2" t="str">
        <f>_xlfn.XLOOKUP(C404,customers!$A$1:$A$1001,customers!$G$1:$G$1001,,0)</f>
        <v>United States</v>
      </c>
      <c r="I404" t="str">
        <f>INDEX(products!$B$1:$B$49,MATCH($D404,products!$A$1:$A$49,0))</f>
        <v>Rob</v>
      </c>
      <c r="J404" t="str">
        <f>INDEX(products!$C$1:$C$49,MATCH($D404,products!$A$1:$A$49,0))</f>
        <v>D</v>
      </c>
      <c r="K404" s="4">
        <f>INDEX(products!$D$1:$D$49,MATCH($D404,products!$A$1:$A$49,0))</f>
        <v>1</v>
      </c>
      <c r="L404" s="5">
        <f>INDEX(products!$E$1:$E$49,MATCH($D404,products!$A$1:$A$49,0))</f>
        <v>8.9499999999999993</v>
      </c>
      <c r="M404" s="5">
        <f t="shared" si="6"/>
        <v>26.849999999999998</v>
      </c>
      <c r="N404" t="str" cm="1">
        <f t="array" ref="N404">_xlfn.IFS(I404="Rob","Robusta",I404="Exc","Excelsa",I404="Ara","Arabica",I404="Lib","Liberica")</f>
        <v>Robusta</v>
      </c>
      <c r="O404" t="str" cm="1">
        <f t="array" ref="O404">_xlfn.SWITCH($J404,"M","Medium","L","Light","D","Dark")</f>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IF(_xlfn.XLOOKUP(C405,customers!$A$1:$A$1001,customers!$C$1:$C$1001,,0)=0,"Not _Provided",_xlfn.XLOOKUP(C405,customers!$A$1:$A$1001,customers!$C$1:$C$1001,,0))</f>
        <v>bgozzettb7@github.com</v>
      </c>
      <c r="H405" s="2" t="str">
        <f>_xlfn.XLOOKUP(C405,customers!$A$1:$A$1001,customers!$G$1:$G$1001,,0)</f>
        <v>United States</v>
      </c>
      <c r="I405" t="str">
        <f>INDEX(products!$B$1:$B$49,MATCH($D405,products!$A$1:$A$49,0))</f>
        <v>Lib</v>
      </c>
      <c r="J405" t="str">
        <f>INDEX(products!$C$1:$C$49,MATCH($D405,products!$A$1:$A$49,0))</f>
        <v>L</v>
      </c>
      <c r="K405" s="4">
        <f>INDEX(products!$D$1:$D$49,MATCH($D405,products!$A$1:$A$49,0))</f>
        <v>0.2</v>
      </c>
      <c r="L405" s="5">
        <f>INDEX(products!$E$1:$E$49,MATCH($D405,products!$A$1:$A$49,0))</f>
        <v>4.7549999999999999</v>
      </c>
      <c r="M405" s="5">
        <f t="shared" si="6"/>
        <v>9.51</v>
      </c>
      <c r="N405" t="str" cm="1">
        <f t="array" ref="N405">_xlfn.IFS(I405="Rob","Robusta",I405="Exc","Excelsa",I405="Ara","Arabica",I405="Lib","Liberica")</f>
        <v>Liberica</v>
      </c>
      <c r="O405" t="str" cm="1">
        <f t="array" ref="O405">_xlfn.SWITCH($J405,"M","Medium","L","Light","D","Dark")</f>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IF(_xlfn.XLOOKUP(C406,customers!$A$1:$A$1001,customers!$C$1:$C$1001,,0)=0,"Not _Provided",_xlfn.XLOOKUP(C406,customers!$A$1:$A$1001,customers!$C$1:$C$1001,,0))</f>
        <v>tcraggsb8@house.gov</v>
      </c>
      <c r="H406" s="2" t="str">
        <f>_xlfn.XLOOKUP(C406,customers!$A$1:$A$1001,customers!$G$1:$G$1001,,0)</f>
        <v>Ireland</v>
      </c>
      <c r="I406" t="str">
        <f>INDEX(products!$B$1:$B$49,MATCH($D406,products!$A$1:$A$49,0))</f>
        <v>Ara</v>
      </c>
      <c r="J406" t="str">
        <f>INDEX(products!$C$1:$C$49,MATCH($D406,products!$A$1:$A$49,0))</f>
        <v>D</v>
      </c>
      <c r="K406" s="4">
        <f>INDEX(products!$D$1:$D$49,MATCH($D406,products!$A$1:$A$49,0))</f>
        <v>1</v>
      </c>
      <c r="L406" s="5">
        <f>INDEX(products!$E$1:$E$49,MATCH($D406,products!$A$1:$A$49,0))</f>
        <v>9.9499999999999993</v>
      </c>
      <c r="M406" s="5">
        <f t="shared" si="6"/>
        <v>39.799999999999997</v>
      </c>
      <c r="N406" t="str" cm="1">
        <f t="array" ref="N406">_xlfn.IFS(I406="Rob","Robusta",I406="Exc","Excelsa",I406="Ara","Arabica",I406="Lib","Liberica")</f>
        <v>Arabica</v>
      </c>
      <c r="O406" t="str" cm="1">
        <f t="array" ref="O406">_xlfn.SWITCH($J406,"M","Medium","L","Light","D","Dark")</f>
        <v>Dark</v>
      </c>
      <c r="P406" t="str">
        <f>_xlfn.XLOOKUP(Table1[[#This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IF(_xlfn.XLOOKUP(C407,customers!$A$1:$A$1001,customers!$C$1:$C$1001,,0)=0,"Not _Provided",_xlfn.XLOOKUP(C407,customers!$A$1:$A$1001,customers!$C$1:$C$1001,,0))</f>
        <v>lcullrfordb9@xing.com</v>
      </c>
      <c r="H407" s="2" t="str">
        <f>_xlfn.XLOOKUP(C407,customers!$A$1:$A$1001,customers!$G$1:$G$1001,,0)</f>
        <v>United States</v>
      </c>
      <c r="I407" t="str">
        <f>INDEX(products!$B$1:$B$49,MATCH($D407,products!$A$1:$A$49,0))</f>
        <v>Exc</v>
      </c>
      <c r="J407" t="str">
        <f>INDEX(products!$C$1:$C$49,MATCH($D407,products!$A$1:$A$49,0))</f>
        <v>M</v>
      </c>
      <c r="K407" s="4">
        <f>INDEX(products!$D$1:$D$49,MATCH($D407,products!$A$1:$A$49,0))</f>
        <v>0.5</v>
      </c>
      <c r="L407" s="5">
        <f>INDEX(products!$E$1:$E$49,MATCH($D407,products!$A$1:$A$49,0))</f>
        <v>8.25</v>
      </c>
      <c r="M407" s="5">
        <f t="shared" si="6"/>
        <v>24.75</v>
      </c>
      <c r="N407" t="str" cm="1">
        <f t="array" ref="N407">_xlfn.IFS(I407="Rob","Robusta",I407="Exc","Excelsa",I407="Ara","Arabica",I407="Lib","Liberica")</f>
        <v>Excelsa</v>
      </c>
      <c r="O407" t="str" cm="1">
        <f t="array" ref="O407">_xlfn.SWITCH($J407,"M","Medium","L","Light","D","Dark")</f>
        <v>Medium</v>
      </c>
      <c r="P407" t="str">
        <f>_xlfn.XLOOKUP(Table1[[#This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IF(_xlfn.XLOOKUP(C408,customers!$A$1:$A$1001,customers!$C$1:$C$1001,,0)=0,"Not _Provided",_xlfn.XLOOKUP(C408,customers!$A$1:$A$1001,customers!$C$1:$C$1001,,0))</f>
        <v>arizonba@xing.com</v>
      </c>
      <c r="H408" s="2" t="str">
        <f>_xlfn.XLOOKUP(C408,customers!$A$1:$A$1001,customers!$G$1:$G$1001,,0)</f>
        <v>United States</v>
      </c>
      <c r="I408" t="str">
        <f>INDEX(products!$B$1:$B$49,MATCH($D408,products!$A$1:$A$49,0))</f>
        <v>Exc</v>
      </c>
      <c r="J408" t="str">
        <f>INDEX(products!$C$1:$C$49,MATCH($D408,products!$A$1:$A$49,0))</f>
        <v>M</v>
      </c>
      <c r="K408" s="4">
        <f>INDEX(products!$D$1:$D$49,MATCH($D408,products!$A$1:$A$49,0))</f>
        <v>1</v>
      </c>
      <c r="L408" s="5">
        <f>INDEX(products!$E$1:$E$49,MATCH($D408,products!$A$1:$A$49,0))</f>
        <v>13.75</v>
      </c>
      <c r="M408" s="5">
        <f t="shared" si="6"/>
        <v>68.75</v>
      </c>
      <c r="N408" t="str" cm="1">
        <f t="array" ref="N408">_xlfn.IFS(I408="Rob","Robusta",I408="Exc","Excelsa",I408="Ara","Arabica",I408="Lib","Liberica")</f>
        <v>Excelsa</v>
      </c>
      <c r="O408" t="str" cm="1">
        <f t="array" ref="O408">_xlfn.SWITCH($J408,"M","Medium","L","Light","D","Dark")</f>
        <v>Medium</v>
      </c>
      <c r="P408" t="str">
        <f>_xlfn.XLOOKUP(Table1[[#This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IF(_xlfn.XLOOKUP(C409,customers!$A$1:$A$1001,customers!$C$1:$C$1001,,0)=0,"Not _Provided",_xlfn.XLOOKUP(C409,customers!$A$1:$A$1001,customers!$C$1:$C$1001,,0))</f>
        <v>Not _Provided</v>
      </c>
      <c r="H409" s="2" t="str">
        <f>_xlfn.XLOOKUP(C409,customers!$A$1:$A$1001,customers!$G$1:$G$1001,,0)</f>
        <v>Ireland</v>
      </c>
      <c r="I409" t="str">
        <f>INDEX(products!$B$1:$B$49,MATCH($D409,products!$A$1:$A$49,0))</f>
        <v>Exc</v>
      </c>
      <c r="J409" t="str">
        <f>INDEX(products!$C$1:$C$49,MATCH($D409,products!$A$1:$A$49,0))</f>
        <v>M</v>
      </c>
      <c r="K409" s="4">
        <f>INDEX(products!$D$1:$D$49,MATCH($D409,products!$A$1:$A$49,0))</f>
        <v>0.5</v>
      </c>
      <c r="L409" s="5">
        <f>INDEX(products!$E$1:$E$49,MATCH($D409,products!$A$1:$A$49,0))</f>
        <v>8.25</v>
      </c>
      <c r="M409" s="5">
        <f t="shared" si="6"/>
        <v>49.5</v>
      </c>
      <c r="N409" t="str" cm="1">
        <f t="array" ref="N409">_xlfn.IFS(I409="Rob","Robusta",I409="Exc","Excelsa",I409="Ara","Arabica",I409="Lib","Liberica")</f>
        <v>Excelsa</v>
      </c>
      <c r="O409" t="str" cm="1">
        <f t="array" ref="O409">_xlfn.SWITCH($J409,"M","Medium","L","Light","D","Dark")</f>
        <v>Medium</v>
      </c>
      <c r="P409" t="str">
        <f>_xlfn.XLOOKUP(Table1[[#This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IF(_xlfn.XLOOKUP(C410,customers!$A$1:$A$1001,customers!$C$1:$C$1001,,0)=0,"Not _Provided",_xlfn.XLOOKUP(C410,customers!$A$1:$A$1001,customers!$C$1:$C$1001,,0))</f>
        <v>fmiellbc@spiegel.de</v>
      </c>
      <c r="H410" s="2" t="str">
        <f>_xlfn.XLOOKUP(C410,customers!$A$1:$A$1001,customers!$G$1:$G$1001,,0)</f>
        <v>United States</v>
      </c>
      <c r="I410" t="str">
        <f>INDEX(products!$B$1:$B$49,MATCH($D410,products!$A$1:$A$49,0))</f>
        <v>Ara</v>
      </c>
      <c r="J410" t="str">
        <f>INDEX(products!$C$1:$C$49,MATCH($D410,products!$A$1:$A$49,0))</f>
        <v>M</v>
      </c>
      <c r="K410" s="4">
        <f>INDEX(products!$D$1:$D$49,MATCH($D410,products!$A$1:$A$49,0))</f>
        <v>2.5</v>
      </c>
      <c r="L410" s="5">
        <f>INDEX(products!$E$1:$E$49,MATCH($D410,products!$A$1:$A$49,0))</f>
        <v>25.874999999999996</v>
      </c>
      <c r="M410" s="5">
        <f t="shared" si="6"/>
        <v>51.749999999999993</v>
      </c>
      <c r="N410" t="str" cm="1">
        <f t="array" ref="N410">_xlfn.IFS(I410="Rob","Robusta",I410="Exc","Excelsa",I410="Ara","Arabica",I410="Lib","Liberica")</f>
        <v>Arabica</v>
      </c>
      <c r="O410" t="str" cm="1">
        <f t="array" ref="O410">_xlfn.SWITCH($J410,"M","Medium","L","Light","D","Dark")</f>
        <v>Medium</v>
      </c>
      <c r="P410" t="str">
        <f>_xlfn.XLOOKUP(Table1[[#This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IF(_xlfn.XLOOKUP(C411,customers!$A$1:$A$1001,customers!$C$1:$C$1001,,0)=0,"Not _Provided",_xlfn.XLOOKUP(C411,customers!$A$1:$A$1001,customers!$C$1:$C$1001,,0))</f>
        <v>Not _Provided</v>
      </c>
      <c r="H411" s="2" t="str">
        <f>_xlfn.XLOOKUP(C411,customers!$A$1:$A$1001,customers!$G$1:$G$1001,,0)</f>
        <v>Ireland</v>
      </c>
      <c r="I411" t="str">
        <f>INDEX(products!$B$1:$B$49,MATCH($D411,products!$A$1:$A$49,0))</f>
        <v>Lib</v>
      </c>
      <c r="J411" t="str">
        <f>INDEX(products!$C$1:$C$49,MATCH($D411,products!$A$1:$A$49,0))</f>
        <v>L</v>
      </c>
      <c r="K411" s="4">
        <f>INDEX(products!$D$1:$D$49,MATCH($D411,products!$A$1:$A$49,0))</f>
        <v>1</v>
      </c>
      <c r="L411" s="5">
        <f>INDEX(products!$E$1:$E$49,MATCH($D411,products!$A$1:$A$49,0))</f>
        <v>15.85</v>
      </c>
      <c r="M411" s="5">
        <f t="shared" si="6"/>
        <v>47.55</v>
      </c>
      <c r="N411" t="str" cm="1">
        <f t="array" ref="N411">_xlfn.IFS(I411="Rob","Robusta",I411="Exc","Excelsa",I411="Ara","Arabica",I411="Lib","Liberica")</f>
        <v>Liberica</v>
      </c>
      <c r="O411" t="str" cm="1">
        <f t="array" ref="O411">_xlfn.SWITCH($J411,"M","Medium","L","Light","D","Dark")</f>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IF(_xlfn.XLOOKUP(C412,customers!$A$1:$A$1001,customers!$C$1:$C$1001,,0)=0,"Not _Provided",_xlfn.XLOOKUP(C412,customers!$A$1:$A$1001,customers!$C$1:$C$1001,,0))</f>
        <v>Not _Provided</v>
      </c>
      <c r="H412" s="2" t="str">
        <f>_xlfn.XLOOKUP(C412,customers!$A$1:$A$1001,customers!$G$1:$G$1001,,0)</f>
        <v>United States</v>
      </c>
      <c r="I412" t="str">
        <f>INDEX(products!$B$1:$B$49,MATCH($D412,products!$A$1:$A$49,0))</f>
        <v>Ara</v>
      </c>
      <c r="J412" t="str">
        <f>INDEX(products!$C$1:$C$49,MATCH($D412,products!$A$1:$A$49,0))</f>
        <v>L</v>
      </c>
      <c r="K412" s="4">
        <f>INDEX(products!$D$1:$D$49,MATCH($D412,products!$A$1:$A$49,0))</f>
        <v>0.2</v>
      </c>
      <c r="L412" s="5">
        <f>INDEX(products!$E$1:$E$49,MATCH($D412,products!$A$1:$A$49,0))</f>
        <v>3.8849999999999998</v>
      </c>
      <c r="M412" s="5">
        <f t="shared" si="6"/>
        <v>15.54</v>
      </c>
      <c r="N412" t="str" cm="1">
        <f t="array" ref="N412">_xlfn.IFS(I412="Rob","Robusta",I412="Exc","Excelsa",I412="Ara","Arabica",I412="Lib","Liberica")</f>
        <v>Arabica</v>
      </c>
      <c r="O412" t="str" cm="1">
        <f t="array" ref="O412">_xlfn.SWITCH($J412,"M","Medium","L","Light","D","Dark")</f>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IF(_xlfn.XLOOKUP(C413,customers!$A$1:$A$1001,customers!$C$1:$C$1001,,0)=0,"Not _Provided",_xlfn.XLOOKUP(C413,customers!$A$1:$A$1001,customers!$C$1:$C$1001,,0))</f>
        <v>Not _Provided</v>
      </c>
      <c r="H413" s="2" t="str">
        <f>_xlfn.XLOOKUP(C413,customers!$A$1:$A$1001,customers!$G$1:$G$1001,,0)</f>
        <v>United States</v>
      </c>
      <c r="I413" t="str">
        <f>INDEX(products!$B$1:$B$49,MATCH($D413,products!$A$1:$A$49,0))</f>
        <v>Lib</v>
      </c>
      <c r="J413" t="str">
        <f>INDEX(products!$C$1:$C$49,MATCH($D413,products!$A$1:$A$49,0))</f>
        <v>M</v>
      </c>
      <c r="K413" s="4">
        <f>INDEX(products!$D$1:$D$49,MATCH($D413,products!$A$1:$A$49,0))</f>
        <v>1</v>
      </c>
      <c r="L413" s="5">
        <f>INDEX(products!$E$1:$E$49,MATCH($D413,products!$A$1:$A$49,0))</f>
        <v>14.55</v>
      </c>
      <c r="M413" s="5">
        <f t="shared" si="6"/>
        <v>87.300000000000011</v>
      </c>
      <c r="N413" t="str" cm="1">
        <f t="array" ref="N413">_xlfn.IFS(I413="Rob","Robusta",I413="Exc","Excelsa",I413="Ara","Arabica",I413="Lib","Liberica")</f>
        <v>Liberica</v>
      </c>
      <c r="O413" t="str" cm="1">
        <f t="array" ref="O413">_xlfn.SWITCH($J413,"M","Medium","L","Light","D","Dark")</f>
        <v>Medium</v>
      </c>
      <c r="P413" t="str">
        <f>_xlfn.XLOOKUP(Table1[[#This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IF(_xlfn.XLOOKUP(C414,customers!$A$1:$A$1001,customers!$C$1:$C$1001,,0)=0,"Not _Provided",_xlfn.XLOOKUP(C414,customers!$A$1:$A$1001,customers!$C$1:$C$1001,,0))</f>
        <v>Not _Provided</v>
      </c>
      <c r="H414" s="2" t="str">
        <f>_xlfn.XLOOKUP(C414,customers!$A$1:$A$1001,customers!$G$1:$G$1001,,0)</f>
        <v>United States</v>
      </c>
      <c r="I414" t="str">
        <f>INDEX(products!$B$1:$B$49,MATCH($D414,products!$A$1:$A$49,0))</f>
        <v>Ara</v>
      </c>
      <c r="J414" t="str">
        <f>INDEX(products!$C$1:$C$49,MATCH($D414,products!$A$1:$A$49,0))</f>
        <v>M</v>
      </c>
      <c r="K414" s="4">
        <f>INDEX(products!$D$1:$D$49,MATCH($D414,products!$A$1:$A$49,0))</f>
        <v>1</v>
      </c>
      <c r="L414" s="5">
        <f>INDEX(products!$E$1:$E$49,MATCH($D414,products!$A$1:$A$49,0))</f>
        <v>11.25</v>
      </c>
      <c r="M414" s="5">
        <f t="shared" si="6"/>
        <v>56.25</v>
      </c>
      <c r="N414" t="str" cm="1">
        <f t="array" ref="N414">_xlfn.IFS(I414="Rob","Robusta",I414="Exc","Excelsa",I414="Ara","Arabica",I414="Lib","Liberica")</f>
        <v>Arabica</v>
      </c>
      <c r="O414" t="str" cm="1">
        <f t="array" ref="O414">_xlfn.SWITCH($J414,"M","Medium","L","Light","D","Dark")</f>
        <v>Medium</v>
      </c>
      <c r="P414" t="str">
        <f>_xlfn.XLOOKUP(Table1[[#This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IF(_xlfn.XLOOKUP(C415,customers!$A$1:$A$1001,customers!$C$1:$C$1001,,0)=0,"Not _Provided",_xlfn.XLOOKUP(C415,customers!$A$1:$A$1001,customers!$C$1:$C$1001,,0))</f>
        <v>wspringallbh@jugem.jp</v>
      </c>
      <c r="H415" s="2" t="str">
        <f>_xlfn.XLOOKUP(C415,customers!$A$1:$A$1001,customers!$G$1:$G$1001,,0)</f>
        <v>United States</v>
      </c>
      <c r="I415" t="str">
        <f>INDEX(products!$B$1:$B$49,MATCH($D415,products!$A$1:$A$49,0))</f>
        <v>Lib</v>
      </c>
      <c r="J415" t="str">
        <f>INDEX(products!$C$1:$C$49,MATCH($D415,products!$A$1:$A$49,0))</f>
        <v>L</v>
      </c>
      <c r="K415" s="4">
        <f>INDEX(products!$D$1:$D$49,MATCH($D415,products!$A$1:$A$49,0))</f>
        <v>2.5</v>
      </c>
      <c r="L415" s="5">
        <f>INDEX(products!$E$1:$E$49,MATCH($D415,products!$A$1:$A$49,0))</f>
        <v>36.454999999999998</v>
      </c>
      <c r="M415" s="5">
        <f t="shared" si="6"/>
        <v>36.454999999999998</v>
      </c>
      <c r="N415" t="str" cm="1">
        <f t="array" ref="N415">_xlfn.IFS(I415="Rob","Robusta",I415="Exc","Excelsa",I415="Ara","Arabica",I415="Lib","Liberica")</f>
        <v>Liberica</v>
      </c>
      <c r="O415" t="str" cm="1">
        <f t="array" ref="O415">_xlfn.SWITCH($J415,"M","Medium","L","Light","D","Dark")</f>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IF(_xlfn.XLOOKUP(C416,customers!$A$1:$A$1001,customers!$C$1:$C$1001,,0)=0,"Not _Provided",_xlfn.XLOOKUP(C416,customers!$A$1:$A$1001,customers!$C$1:$C$1001,,0))</f>
        <v>Not _Provided</v>
      </c>
      <c r="H416" s="2" t="str">
        <f>_xlfn.XLOOKUP(C416,customers!$A$1:$A$1001,customers!$G$1:$G$1001,,0)</f>
        <v>United States</v>
      </c>
      <c r="I416" t="str">
        <f>INDEX(products!$B$1:$B$49,MATCH($D416,products!$A$1:$A$49,0))</f>
        <v>Rob</v>
      </c>
      <c r="J416" t="str">
        <f>INDEX(products!$C$1:$C$49,MATCH($D416,products!$A$1:$A$49,0))</f>
        <v>L</v>
      </c>
      <c r="K416" s="4">
        <f>INDEX(products!$D$1:$D$49,MATCH($D416,products!$A$1:$A$49,0))</f>
        <v>0.2</v>
      </c>
      <c r="L416" s="5">
        <f>INDEX(products!$E$1:$E$49,MATCH($D416,products!$A$1:$A$49,0))</f>
        <v>3.5849999999999995</v>
      </c>
      <c r="M416" s="5">
        <f t="shared" si="6"/>
        <v>10.754999999999999</v>
      </c>
      <c r="N416" t="str" cm="1">
        <f t="array" ref="N416">_xlfn.IFS(I416="Rob","Robusta",I416="Exc","Excelsa",I416="Ara","Arabica",I416="Lib","Liberica")</f>
        <v>Robusta</v>
      </c>
      <c r="O416" t="str" cm="1">
        <f t="array" ref="O416">_xlfn.SWITCH($J416,"M","Medium","L","Light","D","Dark")</f>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IF(_xlfn.XLOOKUP(C417,customers!$A$1:$A$1001,customers!$C$1:$C$1001,,0)=0,"Not _Provided",_xlfn.XLOOKUP(C417,customers!$A$1:$A$1001,customers!$C$1:$C$1001,,0))</f>
        <v>ghawkyensbj@census.gov</v>
      </c>
      <c r="H417" s="2" t="str">
        <f>_xlfn.XLOOKUP(C417,customers!$A$1:$A$1001,customers!$G$1:$G$1001,,0)</f>
        <v>United States</v>
      </c>
      <c r="I417" t="str">
        <f>INDEX(products!$B$1:$B$49,MATCH($D417,products!$A$1:$A$49,0))</f>
        <v>Rob</v>
      </c>
      <c r="J417" t="str">
        <f>INDEX(products!$C$1:$C$49,MATCH($D417,products!$A$1:$A$49,0))</f>
        <v>M</v>
      </c>
      <c r="K417" s="4">
        <f>INDEX(products!$D$1:$D$49,MATCH($D417,products!$A$1:$A$49,0))</f>
        <v>0.2</v>
      </c>
      <c r="L417" s="5">
        <f>INDEX(products!$E$1:$E$49,MATCH($D417,products!$A$1:$A$49,0))</f>
        <v>2.9849999999999999</v>
      </c>
      <c r="M417" s="5">
        <f t="shared" si="6"/>
        <v>8.9550000000000001</v>
      </c>
      <c r="N417" t="str" cm="1">
        <f t="array" ref="N417">_xlfn.IFS(I417="Rob","Robusta",I417="Exc","Excelsa",I417="Ara","Arabica",I417="Lib","Liberica")</f>
        <v>Robusta</v>
      </c>
      <c r="O417" t="str" cm="1">
        <f t="array" ref="O417">_xlfn.SWITCH($J417,"M","Medium","L","Light","D","Dark")</f>
        <v>Medium</v>
      </c>
      <c r="P417" t="str">
        <f>_xlfn.XLOOKUP(Table1[[#This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IF(_xlfn.XLOOKUP(C418,customers!$A$1:$A$1001,customers!$C$1:$C$1001,,0)=0,"Not _Provided",_xlfn.XLOOKUP(C418,customers!$A$1:$A$1001,customers!$C$1:$C$1001,,0))</f>
        <v>Not _Provided</v>
      </c>
      <c r="H418" s="2" t="str">
        <f>_xlfn.XLOOKUP(C418,customers!$A$1:$A$1001,customers!$G$1:$G$1001,,0)</f>
        <v>United States</v>
      </c>
      <c r="I418" t="str">
        <f>INDEX(products!$B$1:$B$49,MATCH($D418,products!$A$1:$A$49,0))</f>
        <v>Ara</v>
      </c>
      <c r="J418" t="str">
        <f>INDEX(products!$C$1:$C$49,MATCH($D418,products!$A$1:$A$49,0))</f>
        <v>L</v>
      </c>
      <c r="K418" s="4">
        <f>INDEX(products!$D$1:$D$49,MATCH($D418,products!$A$1:$A$49,0))</f>
        <v>0.5</v>
      </c>
      <c r="L418" s="5">
        <f>INDEX(products!$E$1:$E$49,MATCH($D418,products!$A$1:$A$49,0))</f>
        <v>7.77</v>
      </c>
      <c r="M418" s="5">
        <f t="shared" si="6"/>
        <v>23.31</v>
      </c>
      <c r="N418" t="str" cm="1">
        <f t="array" ref="N418">_xlfn.IFS(I418="Rob","Robusta",I418="Exc","Excelsa",I418="Ara","Arabica",I418="Lib","Liberica")</f>
        <v>Arabica</v>
      </c>
      <c r="O418" t="str" cm="1">
        <f t="array" ref="O418">_xlfn.SWITCH($J418,"M","Medium","L","Light","D","Dark")</f>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IF(_xlfn.XLOOKUP(C419,customers!$A$1:$A$1001,customers!$C$1:$C$1001,,0)=0,"Not _Provided",_xlfn.XLOOKUP(C419,customers!$A$1:$A$1001,customers!$C$1:$C$1001,,0))</f>
        <v>Not _Provided</v>
      </c>
      <c r="H419" s="2" t="str">
        <f>_xlfn.XLOOKUP(C419,customers!$A$1:$A$1001,customers!$G$1:$G$1001,,0)</f>
        <v>United States</v>
      </c>
      <c r="I419" t="str">
        <f>INDEX(products!$B$1:$B$49,MATCH($D419,products!$A$1:$A$49,0))</f>
        <v>Ara</v>
      </c>
      <c r="J419" t="str">
        <f>INDEX(products!$C$1:$C$49,MATCH($D419,products!$A$1:$A$49,0))</f>
        <v>L</v>
      </c>
      <c r="K419" s="4">
        <f>INDEX(products!$D$1:$D$49,MATCH($D419,products!$A$1:$A$49,0))</f>
        <v>2.5</v>
      </c>
      <c r="L419" s="5">
        <f>INDEX(products!$E$1:$E$49,MATCH($D419,products!$A$1:$A$49,0))</f>
        <v>29.784999999999997</v>
      </c>
      <c r="M419" s="5">
        <f t="shared" si="6"/>
        <v>29.784999999999997</v>
      </c>
      <c r="N419" t="str" cm="1">
        <f t="array" ref="N419">_xlfn.IFS(I419="Rob","Robusta",I419="Exc","Excelsa",I419="Ara","Arabica",I419="Lib","Liberica")</f>
        <v>Arabica</v>
      </c>
      <c r="O419" t="str" cm="1">
        <f t="array" ref="O419">_xlfn.SWITCH($J419,"M","Medium","L","Light","D","Dark")</f>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IF(_xlfn.XLOOKUP(C420,customers!$A$1:$A$1001,customers!$C$1:$C$1001,,0)=0,"Not _Provided",_xlfn.XLOOKUP(C420,customers!$A$1:$A$1001,customers!$C$1:$C$1001,,0))</f>
        <v>bmcgilvrabm@so-net.ne.jp</v>
      </c>
      <c r="H420" s="2" t="str">
        <f>_xlfn.XLOOKUP(C420,customers!$A$1:$A$1001,customers!$G$1:$G$1001,,0)</f>
        <v>United States</v>
      </c>
      <c r="I420" t="str">
        <f>INDEX(products!$B$1:$B$49,MATCH($D420,products!$A$1:$A$49,0))</f>
        <v>Ara</v>
      </c>
      <c r="J420" t="str">
        <f>INDEX(products!$C$1:$C$49,MATCH($D420,products!$A$1:$A$49,0))</f>
        <v>L</v>
      </c>
      <c r="K420" s="4">
        <f>INDEX(products!$D$1:$D$49,MATCH($D420,products!$A$1:$A$49,0))</f>
        <v>2.5</v>
      </c>
      <c r="L420" s="5">
        <f>INDEX(products!$E$1:$E$49,MATCH($D420,products!$A$1:$A$49,0))</f>
        <v>29.784999999999997</v>
      </c>
      <c r="M420" s="5">
        <f t="shared" si="6"/>
        <v>148.92499999999998</v>
      </c>
      <c r="N420" t="str" cm="1">
        <f t="array" ref="N420">_xlfn.IFS(I420="Rob","Robusta",I420="Exc","Excelsa",I420="Ara","Arabica",I420="Lib","Liberica")</f>
        <v>Arabica</v>
      </c>
      <c r="O420" t="str" cm="1">
        <f t="array" ref="O420">_xlfn.SWITCH($J420,"M","Medium","L","Light","D","Dark")</f>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IF(_xlfn.XLOOKUP(C421,customers!$A$1:$A$1001,customers!$C$1:$C$1001,,0)=0,"Not _Provided",_xlfn.XLOOKUP(C421,customers!$A$1:$A$1001,customers!$C$1:$C$1001,,0))</f>
        <v>adanzeybn@github.com</v>
      </c>
      <c r="H421" s="2" t="str">
        <f>_xlfn.XLOOKUP(C421,customers!$A$1:$A$1001,customers!$G$1:$G$1001,,0)</f>
        <v>United States</v>
      </c>
      <c r="I421" t="str">
        <f>INDEX(products!$B$1:$B$49,MATCH($D421,products!$A$1:$A$49,0))</f>
        <v>Lib</v>
      </c>
      <c r="J421" t="str">
        <f>INDEX(products!$C$1:$C$49,MATCH($D421,products!$A$1:$A$49,0))</f>
        <v>M</v>
      </c>
      <c r="K421" s="4">
        <f>INDEX(products!$D$1:$D$49,MATCH($D421,products!$A$1:$A$49,0))</f>
        <v>0.5</v>
      </c>
      <c r="L421" s="5">
        <f>INDEX(products!$E$1:$E$49,MATCH($D421,products!$A$1:$A$49,0))</f>
        <v>8.73</v>
      </c>
      <c r="M421" s="5">
        <f t="shared" si="6"/>
        <v>8.73</v>
      </c>
      <c r="N421" t="str" cm="1">
        <f t="array" ref="N421">_xlfn.IFS(I421="Rob","Robusta",I421="Exc","Excelsa",I421="Ara","Arabica",I421="Lib","Liberica")</f>
        <v>Liberica</v>
      </c>
      <c r="O421" t="str" cm="1">
        <f t="array" ref="O421">_xlfn.SWITCH($J421,"M","Medium","L","Light","D","Dark")</f>
        <v>Medium</v>
      </c>
      <c r="P421" t="str">
        <f>_xlfn.XLOOKUP(Table1[[#This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IF(_xlfn.XLOOKUP(C422,customers!$A$1:$A$1001,customers!$C$1:$C$1001,,0)=0,"Not _Provided",_xlfn.XLOOKUP(C422,customers!$A$1:$A$1001,customers!$C$1:$C$1001,,0))</f>
        <v>tfarraac@behance.net</v>
      </c>
      <c r="H422" s="2" t="str">
        <f>_xlfn.XLOOKUP(C422,customers!$A$1:$A$1001,customers!$G$1:$G$1001,,0)</f>
        <v>United States</v>
      </c>
      <c r="I422" t="str">
        <f>INDEX(products!$B$1:$B$49,MATCH($D422,products!$A$1:$A$49,0))</f>
        <v>Lib</v>
      </c>
      <c r="J422" t="str">
        <f>INDEX(products!$C$1:$C$49,MATCH($D422,products!$A$1:$A$49,0))</f>
        <v>D</v>
      </c>
      <c r="K422" s="4">
        <f>INDEX(products!$D$1:$D$49,MATCH($D422,products!$A$1:$A$49,0))</f>
        <v>0.5</v>
      </c>
      <c r="L422" s="5">
        <f>INDEX(products!$E$1:$E$49,MATCH($D422,products!$A$1:$A$49,0))</f>
        <v>7.77</v>
      </c>
      <c r="M422" s="5">
        <f t="shared" si="6"/>
        <v>31.08</v>
      </c>
      <c r="N422" t="str" cm="1">
        <f t="array" ref="N422">_xlfn.IFS(I422="Rob","Robusta",I422="Exc","Excelsa",I422="Ara","Arabica",I422="Lib","Liberica")</f>
        <v>Liberica</v>
      </c>
      <c r="O422" t="str" cm="1">
        <f t="array" ref="O422">_xlfn.SWITCH($J422,"M","Medium","L","Light","D","Dark")</f>
        <v>Dark</v>
      </c>
      <c r="P422" t="str">
        <f>_xlfn.XLOOKUP(Table1[[#This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IF(_xlfn.XLOOKUP(C423,customers!$A$1:$A$1001,customers!$C$1:$C$1001,,0)=0,"Not _Provided",_xlfn.XLOOKUP(C423,customers!$A$1:$A$1001,customers!$C$1:$C$1001,,0))</f>
        <v>tfarraac@behance.net</v>
      </c>
      <c r="H423" s="2" t="str">
        <f>_xlfn.XLOOKUP(C423,customers!$A$1:$A$1001,customers!$G$1:$G$1001,,0)</f>
        <v>United States</v>
      </c>
      <c r="I423" t="str">
        <f>INDEX(products!$B$1:$B$49,MATCH($D423,products!$A$1:$A$49,0))</f>
        <v>Ara</v>
      </c>
      <c r="J423" t="str">
        <f>INDEX(products!$C$1:$C$49,MATCH($D423,products!$A$1:$A$49,0))</f>
        <v>D</v>
      </c>
      <c r="K423" s="4">
        <f>INDEX(products!$D$1:$D$49,MATCH($D423,products!$A$1:$A$49,0))</f>
        <v>2.5</v>
      </c>
      <c r="L423" s="5">
        <f>INDEX(products!$E$1:$E$49,MATCH($D423,products!$A$1:$A$49,0))</f>
        <v>22.884999999999998</v>
      </c>
      <c r="M423" s="5">
        <f t="shared" si="6"/>
        <v>137.31</v>
      </c>
      <c r="N423" t="str" cm="1">
        <f t="array" ref="N423">_xlfn.IFS(I423="Rob","Robusta",I423="Exc","Excelsa",I423="Ara","Arabica",I423="Lib","Liberica")</f>
        <v>Arabica</v>
      </c>
      <c r="O423" t="str" cm="1">
        <f t="array" ref="O423">_xlfn.SWITCH($J423,"M","Medium","L","Light","D","Dark")</f>
        <v>Dark</v>
      </c>
      <c r="P423" t="str">
        <f>_xlfn.XLOOKUP(Table1[[#This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IF(_xlfn.XLOOKUP(C424,customers!$A$1:$A$1001,customers!$C$1:$C$1001,,0)=0,"Not _Provided",_xlfn.XLOOKUP(C424,customers!$A$1:$A$1001,customers!$C$1:$C$1001,,0))</f>
        <v>Not _Provided</v>
      </c>
      <c r="H424" s="2" t="str">
        <f>_xlfn.XLOOKUP(C424,customers!$A$1:$A$1001,customers!$G$1:$G$1001,,0)</f>
        <v>United States</v>
      </c>
      <c r="I424" t="str">
        <f>INDEX(products!$B$1:$B$49,MATCH($D424,products!$A$1:$A$49,0))</f>
        <v>Ara</v>
      </c>
      <c r="J424" t="str">
        <f>INDEX(products!$C$1:$C$49,MATCH($D424,products!$A$1:$A$49,0))</f>
        <v>D</v>
      </c>
      <c r="K424" s="4">
        <f>INDEX(products!$D$1:$D$49,MATCH($D424,products!$A$1:$A$49,0))</f>
        <v>0.5</v>
      </c>
      <c r="L424" s="5">
        <f>INDEX(products!$E$1:$E$49,MATCH($D424,products!$A$1:$A$49,0))</f>
        <v>5.97</v>
      </c>
      <c r="M424" s="5">
        <f t="shared" si="6"/>
        <v>29.849999999999998</v>
      </c>
      <c r="N424" t="str" cm="1">
        <f t="array" ref="N424">_xlfn.IFS(I424="Rob","Robusta",I424="Exc","Excelsa",I424="Ara","Arabica",I424="Lib","Liberica")</f>
        <v>Arabica</v>
      </c>
      <c r="O424" t="str" cm="1">
        <f t="array" ref="O424">_xlfn.SWITCH($J424,"M","Medium","L","Light","D","Dark")</f>
        <v>Dark</v>
      </c>
      <c r="P424" t="str">
        <f>_xlfn.XLOOKUP(Table1[[#This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IF(_xlfn.XLOOKUP(C425,customers!$A$1:$A$1001,customers!$C$1:$C$1001,,0)=0,"Not _Provided",_xlfn.XLOOKUP(C425,customers!$A$1:$A$1001,customers!$C$1:$C$1001,,0))</f>
        <v>Not _Provided</v>
      </c>
      <c r="H425" s="2" t="str">
        <f>_xlfn.XLOOKUP(C425,customers!$A$1:$A$1001,customers!$G$1:$G$1001,,0)</f>
        <v>United States</v>
      </c>
      <c r="I425" t="str">
        <f>INDEX(products!$B$1:$B$49,MATCH($D425,products!$A$1:$A$49,0))</f>
        <v>Rob</v>
      </c>
      <c r="J425" t="str">
        <f>INDEX(products!$C$1:$C$49,MATCH($D425,products!$A$1:$A$49,0))</f>
        <v>M</v>
      </c>
      <c r="K425" s="4">
        <f>INDEX(products!$D$1:$D$49,MATCH($D425,products!$A$1:$A$49,0))</f>
        <v>0.5</v>
      </c>
      <c r="L425" s="5">
        <f>INDEX(products!$E$1:$E$49,MATCH($D425,products!$A$1:$A$49,0))</f>
        <v>5.97</v>
      </c>
      <c r="M425" s="5">
        <f t="shared" si="6"/>
        <v>17.91</v>
      </c>
      <c r="N425" t="str" cm="1">
        <f t="array" ref="N425">_xlfn.IFS(I425="Rob","Robusta",I425="Exc","Excelsa",I425="Ara","Arabica",I425="Lib","Liberica")</f>
        <v>Robusta</v>
      </c>
      <c r="O425" t="str" cm="1">
        <f t="array" ref="O425">_xlfn.SWITCH($J425,"M","Medium","L","Light","D","Dark")</f>
        <v>Medium</v>
      </c>
      <c r="P425" t="str">
        <f>_xlfn.XLOOKUP(Table1[[#This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IF(_xlfn.XLOOKUP(C426,customers!$A$1:$A$1001,customers!$C$1:$C$1001,,0)=0,"Not _Provided",_xlfn.XLOOKUP(C426,customers!$A$1:$A$1001,customers!$C$1:$C$1001,,0))</f>
        <v>ydombrellbs@dedecms.com</v>
      </c>
      <c r="H426" s="2" t="str">
        <f>_xlfn.XLOOKUP(C426,customers!$A$1:$A$1001,customers!$G$1:$G$1001,,0)</f>
        <v>United States</v>
      </c>
      <c r="I426" t="str">
        <f>INDEX(products!$B$1:$B$49,MATCH($D426,products!$A$1:$A$49,0))</f>
        <v>Exc</v>
      </c>
      <c r="J426" t="str">
        <f>INDEX(products!$C$1:$C$49,MATCH($D426,products!$A$1:$A$49,0))</f>
        <v>L</v>
      </c>
      <c r="K426" s="4">
        <f>INDEX(products!$D$1:$D$49,MATCH($D426,products!$A$1:$A$49,0))</f>
        <v>0.5</v>
      </c>
      <c r="L426" s="5">
        <f>INDEX(products!$E$1:$E$49,MATCH($D426,products!$A$1:$A$49,0))</f>
        <v>8.91</v>
      </c>
      <c r="M426" s="5">
        <f t="shared" si="6"/>
        <v>26.73</v>
      </c>
      <c r="N426" t="str" cm="1">
        <f t="array" ref="N426">_xlfn.IFS(I426="Rob","Robusta",I426="Exc","Excelsa",I426="Ara","Arabica",I426="Lib","Liberica")</f>
        <v>Excelsa</v>
      </c>
      <c r="O426" t="str" cm="1">
        <f t="array" ref="O426">_xlfn.SWITCH($J426,"M","Medium","L","Light","D","Dark")</f>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IF(_xlfn.XLOOKUP(C427,customers!$A$1:$A$1001,customers!$C$1:$C$1001,,0)=0,"Not _Provided",_xlfn.XLOOKUP(C427,customers!$A$1:$A$1001,customers!$C$1:$C$1001,,0))</f>
        <v>adarthbt@t.co</v>
      </c>
      <c r="H427" s="2" t="str">
        <f>_xlfn.XLOOKUP(C427,customers!$A$1:$A$1001,customers!$G$1:$G$1001,,0)</f>
        <v>United States</v>
      </c>
      <c r="I427" t="str">
        <f>INDEX(products!$B$1:$B$49,MATCH($D427,products!$A$1:$A$49,0))</f>
        <v>Rob</v>
      </c>
      <c r="J427" t="str">
        <f>INDEX(products!$C$1:$C$49,MATCH($D427,products!$A$1:$A$49,0))</f>
        <v>D</v>
      </c>
      <c r="K427" s="4">
        <f>INDEX(products!$D$1:$D$49,MATCH($D427,products!$A$1:$A$49,0))</f>
        <v>1</v>
      </c>
      <c r="L427" s="5">
        <f>INDEX(products!$E$1:$E$49,MATCH($D427,products!$A$1:$A$49,0))</f>
        <v>8.9499999999999993</v>
      </c>
      <c r="M427" s="5">
        <f t="shared" si="6"/>
        <v>17.899999999999999</v>
      </c>
      <c r="N427" t="str" cm="1">
        <f t="array" ref="N427">_xlfn.IFS(I427="Rob","Robusta",I427="Exc","Excelsa",I427="Ara","Arabica",I427="Lib","Liberica")</f>
        <v>Robusta</v>
      </c>
      <c r="O427" t="str" cm="1">
        <f t="array" ref="O427">_xlfn.SWITCH($J427,"M","Medium","L","Light","D","Dark")</f>
        <v>Dark</v>
      </c>
      <c r="P427" t="str">
        <f>_xlfn.XLOOKUP(Table1[[#This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IF(_xlfn.XLOOKUP(C428,customers!$A$1:$A$1001,customers!$C$1:$C$1001,,0)=0,"Not _Provided",_xlfn.XLOOKUP(C428,customers!$A$1:$A$1001,customers!$C$1:$C$1001,,0))</f>
        <v>mdarrigoebu@hud.gov</v>
      </c>
      <c r="H428" s="2" t="str">
        <f>_xlfn.XLOOKUP(C428,customers!$A$1:$A$1001,customers!$G$1:$G$1001,,0)</f>
        <v>Ireland</v>
      </c>
      <c r="I428" t="str">
        <f>INDEX(products!$B$1:$B$49,MATCH($D428,products!$A$1:$A$49,0))</f>
        <v>Rob</v>
      </c>
      <c r="J428" t="str">
        <f>INDEX(products!$C$1:$C$49,MATCH($D428,products!$A$1:$A$49,0))</f>
        <v>L</v>
      </c>
      <c r="K428" s="4">
        <f>INDEX(products!$D$1:$D$49,MATCH($D428,products!$A$1:$A$49,0))</f>
        <v>0.2</v>
      </c>
      <c r="L428" s="5">
        <f>INDEX(products!$E$1:$E$49,MATCH($D428,products!$A$1:$A$49,0))</f>
        <v>3.5849999999999995</v>
      </c>
      <c r="M428" s="5">
        <f t="shared" si="6"/>
        <v>14.339999999999998</v>
      </c>
      <c r="N428" t="str" cm="1">
        <f t="array" ref="N428">_xlfn.IFS(I428="Rob","Robusta",I428="Exc","Excelsa",I428="Ara","Arabica",I428="Lib","Liberica")</f>
        <v>Robusta</v>
      </c>
      <c r="O428" t="str" cm="1">
        <f t="array" ref="O428">_xlfn.SWITCH($J428,"M","Medium","L","Light","D","Dark")</f>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IF(_xlfn.XLOOKUP(C429,customers!$A$1:$A$1001,customers!$C$1:$C$1001,,0)=0,"Not _Provided",_xlfn.XLOOKUP(C429,customers!$A$1:$A$1001,customers!$C$1:$C$1001,,0))</f>
        <v>Not _Provided</v>
      </c>
      <c r="H429" s="2" t="str">
        <f>_xlfn.XLOOKUP(C429,customers!$A$1:$A$1001,customers!$G$1:$G$1001,,0)</f>
        <v>United States</v>
      </c>
      <c r="I429" t="str">
        <f>INDEX(products!$B$1:$B$49,MATCH($D429,products!$A$1:$A$49,0))</f>
        <v>Ara</v>
      </c>
      <c r="J429" t="str">
        <f>INDEX(products!$C$1:$C$49,MATCH($D429,products!$A$1:$A$49,0))</f>
        <v>M</v>
      </c>
      <c r="K429" s="4">
        <f>INDEX(products!$D$1:$D$49,MATCH($D429,products!$A$1:$A$49,0))</f>
        <v>2.5</v>
      </c>
      <c r="L429" s="5">
        <f>INDEX(products!$E$1:$E$49,MATCH($D429,products!$A$1:$A$49,0))</f>
        <v>25.874999999999996</v>
      </c>
      <c r="M429" s="5">
        <f t="shared" si="6"/>
        <v>77.624999999999986</v>
      </c>
      <c r="N429" t="str" cm="1">
        <f t="array" ref="N429">_xlfn.IFS(I429="Rob","Robusta",I429="Exc","Excelsa",I429="Ara","Arabica",I429="Lib","Liberica")</f>
        <v>Arabica</v>
      </c>
      <c r="O429" t="str" cm="1">
        <f t="array" ref="O429">_xlfn.SWITCH($J429,"M","Medium","L","Light","D","Dark")</f>
        <v>Medium</v>
      </c>
      <c r="P429" t="str">
        <f>_xlfn.XLOOKUP(Table1[[#This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IF(_xlfn.XLOOKUP(C430,customers!$A$1:$A$1001,customers!$C$1:$C$1001,,0)=0,"Not _Provided",_xlfn.XLOOKUP(C430,customers!$A$1:$A$1001,customers!$C$1:$C$1001,,0))</f>
        <v>mackrillbw@bandcamp.com</v>
      </c>
      <c r="H430" s="2" t="str">
        <f>_xlfn.XLOOKUP(C430,customers!$A$1:$A$1001,customers!$G$1:$G$1001,,0)</f>
        <v>United States</v>
      </c>
      <c r="I430" t="str">
        <f>INDEX(products!$B$1:$B$49,MATCH($D430,products!$A$1:$A$49,0))</f>
        <v>Rob</v>
      </c>
      <c r="J430" t="str">
        <f>INDEX(products!$C$1:$C$49,MATCH($D430,products!$A$1:$A$49,0))</f>
        <v>L</v>
      </c>
      <c r="K430" s="4">
        <f>INDEX(products!$D$1:$D$49,MATCH($D430,products!$A$1:$A$49,0))</f>
        <v>1</v>
      </c>
      <c r="L430" s="5">
        <f>INDEX(products!$E$1:$E$49,MATCH($D430,products!$A$1:$A$49,0))</f>
        <v>11.95</v>
      </c>
      <c r="M430" s="5">
        <f t="shared" si="6"/>
        <v>59.75</v>
      </c>
      <c r="N430" t="str" cm="1">
        <f t="array" ref="N430">_xlfn.IFS(I430="Rob","Robusta",I430="Exc","Excelsa",I430="Ara","Arabica",I430="Lib","Liberica")</f>
        <v>Robusta</v>
      </c>
      <c r="O430" t="str" cm="1">
        <f t="array" ref="O430">_xlfn.SWITCH($J430,"M","Medium","L","Light","D","Dark")</f>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IF(_xlfn.XLOOKUP(C431,customers!$A$1:$A$1001,customers!$C$1:$C$1001,,0)=0,"Not _Provided",_xlfn.XLOOKUP(C431,customers!$A$1:$A$1001,customers!$C$1:$C$1001,,0))</f>
        <v>tfarraac@behance.net</v>
      </c>
      <c r="H431" s="2" t="str">
        <f>_xlfn.XLOOKUP(C431,customers!$A$1:$A$1001,customers!$G$1:$G$1001,,0)</f>
        <v>United States</v>
      </c>
      <c r="I431" t="str">
        <f>INDEX(products!$B$1:$B$49,MATCH($D431,products!$A$1:$A$49,0))</f>
        <v>Ara</v>
      </c>
      <c r="J431" t="str">
        <f>INDEX(products!$C$1:$C$49,MATCH($D431,products!$A$1:$A$49,0))</f>
        <v>L</v>
      </c>
      <c r="K431" s="4">
        <f>INDEX(products!$D$1:$D$49,MATCH($D431,products!$A$1:$A$49,0))</f>
        <v>1</v>
      </c>
      <c r="L431" s="5">
        <f>INDEX(products!$E$1:$E$49,MATCH($D431,products!$A$1:$A$49,0))</f>
        <v>12.95</v>
      </c>
      <c r="M431" s="5">
        <f t="shared" si="6"/>
        <v>77.699999999999989</v>
      </c>
      <c r="N431" t="str" cm="1">
        <f t="array" ref="N431">_xlfn.IFS(I431="Rob","Robusta",I431="Exc","Excelsa",I431="Ara","Arabica",I431="Lib","Liberica")</f>
        <v>Arabica</v>
      </c>
      <c r="O431" t="str" cm="1">
        <f t="array" ref="O431">_xlfn.SWITCH($J431,"M","Medium","L","Light","D","Dark")</f>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IF(_xlfn.XLOOKUP(C432,customers!$A$1:$A$1001,customers!$C$1:$C$1001,,0)=0,"Not _Provided",_xlfn.XLOOKUP(C432,customers!$A$1:$A$1001,customers!$C$1:$C$1001,,0))</f>
        <v>mkippenby@dion.ne.jp</v>
      </c>
      <c r="H432" s="2" t="str">
        <f>_xlfn.XLOOKUP(C432,customers!$A$1:$A$1001,customers!$G$1:$G$1001,,0)</f>
        <v>United States</v>
      </c>
      <c r="I432" t="str">
        <f>INDEX(products!$B$1:$B$49,MATCH($D432,products!$A$1:$A$49,0))</f>
        <v>Rob</v>
      </c>
      <c r="J432" t="str">
        <f>INDEX(products!$C$1:$C$49,MATCH($D432,products!$A$1:$A$49,0))</f>
        <v>D</v>
      </c>
      <c r="K432" s="4">
        <f>INDEX(products!$D$1:$D$49,MATCH($D432,products!$A$1:$A$49,0))</f>
        <v>0.2</v>
      </c>
      <c r="L432" s="5">
        <f>INDEX(products!$E$1:$E$49,MATCH($D432,products!$A$1:$A$49,0))</f>
        <v>2.6849999999999996</v>
      </c>
      <c r="M432" s="5">
        <f t="shared" si="6"/>
        <v>5.3699999999999992</v>
      </c>
      <c r="N432" t="str" cm="1">
        <f t="array" ref="N432">_xlfn.IFS(I432="Rob","Robusta",I432="Exc","Excelsa",I432="Ara","Arabica",I432="Lib","Liberica")</f>
        <v>Robusta</v>
      </c>
      <c r="O432" t="str" cm="1">
        <f t="array" ref="O432">_xlfn.SWITCH($J432,"M","Medium","L","Light","D","Dark")</f>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IF(_xlfn.XLOOKUP(C433,customers!$A$1:$A$1001,customers!$C$1:$C$1001,,0)=0,"Not _Provided",_xlfn.XLOOKUP(C433,customers!$A$1:$A$1001,customers!$C$1:$C$1001,,0))</f>
        <v>wransonbz@ted.com</v>
      </c>
      <c r="H433" s="2" t="str">
        <f>_xlfn.XLOOKUP(C433,customers!$A$1:$A$1001,customers!$G$1:$G$1001,,0)</f>
        <v>Ireland</v>
      </c>
      <c r="I433" t="str">
        <f>INDEX(products!$B$1:$B$49,MATCH($D433,products!$A$1:$A$49,0))</f>
        <v>Exc</v>
      </c>
      <c r="J433" t="str">
        <f>INDEX(products!$C$1:$C$49,MATCH($D433,products!$A$1:$A$49,0))</f>
        <v>D</v>
      </c>
      <c r="K433" s="4">
        <f>INDEX(products!$D$1:$D$49,MATCH($D433,products!$A$1:$A$49,0))</f>
        <v>2.5</v>
      </c>
      <c r="L433" s="5">
        <f>INDEX(products!$E$1:$E$49,MATCH($D433,products!$A$1:$A$49,0))</f>
        <v>27.945</v>
      </c>
      <c r="M433" s="5">
        <f t="shared" si="6"/>
        <v>83.835000000000008</v>
      </c>
      <c r="N433" t="str" cm="1">
        <f t="array" ref="N433">_xlfn.IFS(I433="Rob","Robusta",I433="Exc","Excelsa",I433="Ara","Arabica",I433="Lib","Liberica")</f>
        <v>Excelsa</v>
      </c>
      <c r="O433" t="str" cm="1">
        <f t="array" ref="O433">_xlfn.SWITCH($J433,"M","Medium","L","Light","D","Dark")</f>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IF(_xlfn.XLOOKUP(C434,customers!$A$1:$A$1001,customers!$C$1:$C$1001,,0)=0,"Not _Provided",_xlfn.XLOOKUP(C434,customers!$A$1:$A$1001,customers!$C$1:$C$1001,,0))</f>
        <v>Not _Provided</v>
      </c>
      <c r="H434" s="2" t="str">
        <f>_xlfn.XLOOKUP(C434,customers!$A$1:$A$1001,customers!$G$1:$G$1001,,0)</f>
        <v>United States</v>
      </c>
      <c r="I434" t="str">
        <f>INDEX(products!$B$1:$B$49,MATCH($D434,products!$A$1:$A$49,0))</f>
        <v>Ara</v>
      </c>
      <c r="J434" t="str">
        <f>INDEX(products!$C$1:$C$49,MATCH($D434,products!$A$1:$A$49,0))</f>
        <v>M</v>
      </c>
      <c r="K434" s="4">
        <f>INDEX(products!$D$1:$D$49,MATCH($D434,products!$A$1:$A$49,0))</f>
        <v>1</v>
      </c>
      <c r="L434" s="5">
        <f>INDEX(products!$E$1:$E$49,MATCH($D434,products!$A$1:$A$49,0))</f>
        <v>11.25</v>
      </c>
      <c r="M434" s="5">
        <f t="shared" si="6"/>
        <v>22.5</v>
      </c>
      <c r="N434" t="str" cm="1">
        <f t="array" ref="N434">_xlfn.IFS(I434="Rob","Robusta",I434="Exc","Excelsa",I434="Ara","Arabica",I434="Lib","Liberica")</f>
        <v>Arabica</v>
      </c>
      <c r="O434" t="str" cm="1">
        <f t="array" ref="O434">_xlfn.SWITCH($J434,"M","Medium","L","Light","D","Dark")</f>
        <v>Medium</v>
      </c>
      <c r="P434" t="str">
        <f>_xlfn.XLOOKUP(Table1[[#This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IF(_xlfn.XLOOKUP(C435,customers!$A$1:$A$1001,customers!$C$1:$C$1001,,0)=0,"Not _Provided",_xlfn.XLOOKUP(C435,customers!$A$1:$A$1001,customers!$C$1:$C$1001,,0))</f>
        <v>lrignoldc1@miibeian.gov.cn</v>
      </c>
      <c r="H435" s="2" t="str">
        <f>_xlfn.XLOOKUP(C435,customers!$A$1:$A$1001,customers!$G$1:$G$1001,,0)</f>
        <v>United States</v>
      </c>
      <c r="I435" t="str">
        <f>INDEX(products!$B$1:$B$49,MATCH($D435,products!$A$1:$A$49,0))</f>
        <v>Lib</v>
      </c>
      <c r="J435" t="str">
        <f>INDEX(products!$C$1:$C$49,MATCH($D435,products!$A$1:$A$49,0))</f>
        <v>M</v>
      </c>
      <c r="K435" s="4">
        <f>INDEX(products!$D$1:$D$49,MATCH($D435,products!$A$1:$A$49,0))</f>
        <v>2.5</v>
      </c>
      <c r="L435" s="5">
        <f>INDEX(products!$E$1:$E$49,MATCH($D435,products!$A$1:$A$49,0))</f>
        <v>33.464999999999996</v>
      </c>
      <c r="M435" s="5">
        <f t="shared" si="6"/>
        <v>200.78999999999996</v>
      </c>
      <c r="N435" t="str" cm="1">
        <f t="array" ref="N435">_xlfn.IFS(I435="Rob","Robusta",I435="Exc","Excelsa",I435="Ara","Arabica",I435="Lib","Liberica")</f>
        <v>Liberica</v>
      </c>
      <c r="O435" t="str" cm="1">
        <f t="array" ref="O435">_xlfn.SWITCH($J435,"M","Medium","L","Light","D","Dark")</f>
        <v>Medium</v>
      </c>
      <c r="P435" t="str">
        <f>_xlfn.XLOOKUP(Table1[[#This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IF(_xlfn.XLOOKUP(C436,customers!$A$1:$A$1001,customers!$C$1:$C$1001,,0)=0,"Not _Provided",_xlfn.XLOOKUP(C436,customers!$A$1:$A$1001,customers!$C$1:$C$1001,,0))</f>
        <v>Not _Provided</v>
      </c>
      <c r="H436" s="2" t="str">
        <f>_xlfn.XLOOKUP(C436,customers!$A$1:$A$1001,customers!$G$1:$G$1001,,0)</f>
        <v>United States</v>
      </c>
      <c r="I436" t="str">
        <f>INDEX(products!$B$1:$B$49,MATCH($D436,products!$A$1:$A$49,0))</f>
        <v>Ara</v>
      </c>
      <c r="J436" t="str">
        <f>INDEX(products!$C$1:$C$49,MATCH($D436,products!$A$1:$A$49,0))</f>
        <v>M</v>
      </c>
      <c r="K436" s="4">
        <f>INDEX(products!$D$1:$D$49,MATCH($D436,products!$A$1:$A$49,0))</f>
        <v>1</v>
      </c>
      <c r="L436" s="5">
        <f>INDEX(products!$E$1:$E$49,MATCH($D436,products!$A$1:$A$49,0))</f>
        <v>11.25</v>
      </c>
      <c r="M436" s="5">
        <f t="shared" si="6"/>
        <v>67.5</v>
      </c>
      <c r="N436" t="str" cm="1">
        <f t="array" ref="N436">_xlfn.IFS(I436="Rob","Robusta",I436="Exc","Excelsa",I436="Ara","Arabica",I436="Lib","Liberica")</f>
        <v>Arabica</v>
      </c>
      <c r="O436" t="str" cm="1">
        <f t="array" ref="O436">_xlfn.SWITCH($J436,"M","Medium","L","Light","D","Dark")</f>
        <v>Medium</v>
      </c>
      <c r="P436" t="str">
        <f>_xlfn.XLOOKUP(Table1[[#This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IF(_xlfn.XLOOKUP(C437,customers!$A$1:$A$1001,customers!$C$1:$C$1001,,0)=0,"Not _Provided",_xlfn.XLOOKUP(C437,customers!$A$1:$A$1001,customers!$C$1:$C$1001,,0))</f>
        <v>crowthornc3@msn.com</v>
      </c>
      <c r="H437" s="2" t="str">
        <f>_xlfn.XLOOKUP(C437,customers!$A$1:$A$1001,customers!$G$1:$G$1001,,0)</f>
        <v>United States</v>
      </c>
      <c r="I437" t="str">
        <f>INDEX(products!$B$1:$B$49,MATCH($D437,products!$A$1:$A$49,0))</f>
        <v>Exc</v>
      </c>
      <c r="J437" t="str">
        <f>INDEX(products!$C$1:$C$49,MATCH($D437,products!$A$1:$A$49,0))</f>
        <v>M</v>
      </c>
      <c r="K437" s="4">
        <f>INDEX(products!$D$1:$D$49,MATCH($D437,products!$A$1:$A$49,0))</f>
        <v>0.5</v>
      </c>
      <c r="L437" s="5">
        <f>INDEX(products!$E$1:$E$49,MATCH($D437,products!$A$1:$A$49,0))</f>
        <v>8.25</v>
      </c>
      <c r="M437" s="5">
        <f t="shared" si="6"/>
        <v>8.25</v>
      </c>
      <c r="N437" t="str" cm="1">
        <f t="array" ref="N437">_xlfn.IFS(I437="Rob","Robusta",I437="Exc","Excelsa",I437="Ara","Arabica",I437="Lib","Liberica")</f>
        <v>Excelsa</v>
      </c>
      <c r="O437" t="str" cm="1">
        <f t="array" ref="O437">_xlfn.SWITCH($J437,"M","Medium","L","Light","D","Dark")</f>
        <v>Medium</v>
      </c>
      <c r="P437" t="str">
        <f>_xlfn.XLOOKUP(Table1[[#This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IF(_xlfn.XLOOKUP(C438,customers!$A$1:$A$1001,customers!$C$1:$C$1001,,0)=0,"Not _Provided",_xlfn.XLOOKUP(C438,customers!$A$1:$A$1001,customers!$C$1:$C$1001,,0))</f>
        <v>orylandc4@deviantart.com</v>
      </c>
      <c r="H438" s="2" t="str">
        <f>_xlfn.XLOOKUP(C438,customers!$A$1:$A$1001,customers!$G$1:$G$1001,,0)</f>
        <v>United States</v>
      </c>
      <c r="I438" t="str">
        <f>INDEX(products!$B$1:$B$49,MATCH($D438,products!$A$1:$A$49,0))</f>
        <v>Lib</v>
      </c>
      <c r="J438" t="str">
        <f>INDEX(products!$C$1:$C$49,MATCH($D438,products!$A$1:$A$49,0))</f>
        <v>L</v>
      </c>
      <c r="K438" s="4">
        <f>INDEX(products!$D$1:$D$49,MATCH($D438,products!$A$1:$A$49,0))</f>
        <v>0.2</v>
      </c>
      <c r="L438" s="5">
        <f>INDEX(products!$E$1:$E$49,MATCH($D438,products!$A$1:$A$49,0))</f>
        <v>4.7549999999999999</v>
      </c>
      <c r="M438" s="5">
        <f t="shared" si="6"/>
        <v>9.51</v>
      </c>
      <c r="N438" t="str" cm="1">
        <f t="array" ref="N438">_xlfn.IFS(I438="Rob","Robusta",I438="Exc","Excelsa",I438="Ara","Arabica",I438="Lib","Liberica")</f>
        <v>Liberica</v>
      </c>
      <c r="O438" t="str" cm="1">
        <f t="array" ref="O438">_xlfn.SWITCH($J438,"M","Medium","L","Light","D","Dark")</f>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IF(_xlfn.XLOOKUP(C439,customers!$A$1:$A$1001,customers!$C$1:$C$1001,,0)=0,"Not _Provided",_xlfn.XLOOKUP(C439,customers!$A$1:$A$1001,customers!$C$1:$C$1001,,0))</f>
        <v>Not _Provided</v>
      </c>
      <c r="H439" s="2" t="str">
        <f>_xlfn.XLOOKUP(C439,customers!$A$1:$A$1001,customers!$G$1:$G$1001,,0)</f>
        <v>United States</v>
      </c>
      <c r="I439" t="str">
        <f>INDEX(products!$B$1:$B$49,MATCH($D439,products!$A$1:$A$49,0))</f>
        <v>Lib</v>
      </c>
      <c r="J439" t="str">
        <f>INDEX(products!$C$1:$C$49,MATCH($D439,products!$A$1:$A$49,0))</f>
        <v>D</v>
      </c>
      <c r="K439" s="4">
        <f>INDEX(products!$D$1:$D$49,MATCH($D439,products!$A$1:$A$49,0))</f>
        <v>2.5</v>
      </c>
      <c r="L439" s="5">
        <f>INDEX(products!$E$1:$E$49,MATCH($D439,products!$A$1:$A$49,0))</f>
        <v>29.784999999999997</v>
      </c>
      <c r="M439" s="5">
        <f t="shared" si="6"/>
        <v>29.784999999999997</v>
      </c>
      <c r="N439" t="str" cm="1">
        <f t="array" ref="N439">_xlfn.IFS(I439="Rob","Robusta",I439="Exc","Excelsa",I439="Ara","Arabica",I439="Lib","Liberica")</f>
        <v>Liberica</v>
      </c>
      <c r="O439" t="str" cm="1">
        <f t="array" ref="O439">_xlfn.SWITCH($J439,"M","Medium","L","Light","D","Dark")</f>
        <v>Dark</v>
      </c>
      <c r="P439" t="str">
        <f>_xlfn.XLOOKUP(Table1[[#This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IF(_xlfn.XLOOKUP(C440,customers!$A$1:$A$1001,customers!$C$1:$C$1001,,0)=0,"Not _Provided",_xlfn.XLOOKUP(C440,customers!$A$1:$A$1001,customers!$C$1:$C$1001,,0))</f>
        <v>msesonck@census.gov</v>
      </c>
      <c r="H440" s="2" t="str">
        <f>_xlfn.XLOOKUP(C440,customers!$A$1:$A$1001,customers!$G$1:$G$1001,,0)</f>
        <v>United States</v>
      </c>
      <c r="I440" t="str">
        <f>INDEX(products!$B$1:$B$49,MATCH($D440,products!$A$1:$A$49,0))</f>
        <v>Lib</v>
      </c>
      <c r="J440" t="str">
        <f>INDEX(products!$C$1:$C$49,MATCH($D440,products!$A$1:$A$49,0))</f>
        <v>D</v>
      </c>
      <c r="K440" s="4">
        <f>INDEX(products!$D$1:$D$49,MATCH($D440,products!$A$1:$A$49,0))</f>
        <v>0.5</v>
      </c>
      <c r="L440" s="5">
        <f>INDEX(products!$E$1:$E$49,MATCH($D440,products!$A$1:$A$49,0))</f>
        <v>7.77</v>
      </c>
      <c r="M440" s="5">
        <f t="shared" si="6"/>
        <v>15.54</v>
      </c>
      <c r="N440" t="str" cm="1">
        <f t="array" ref="N440">_xlfn.IFS(I440="Rob","Robusta",I440="Exc","Excelsa",I440="Ara","Arabica",I440="Lib","Liberica")</f>
        <v>Liberica</v>
      </c>
      <c r="O440" t="str" cm="1">
        <f t="array" ref="O440">_xlfn.SWITCH($J440,"M","Medium","L","Light","D","Dark")</f>
        <v>Dark</v>
      </c>
      <c r="P440" t="str">
        <f>_xlfn.XLOOKUP(Table1[[#This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IF(_xlfn.XLOOKUP(C441,customers!$A$1:$A$1001,customers!$C$1:$C$1001,,0)=0,"Not _Provided",_xlfn.XLOOKUP(C441,customers!$A$1:$A$1001,customers!$C$1:$C$1001,,0))</f>
        <v>craglessc7@webmd.com</v>
      </c>
      <c r="H441" s="2" t="str">
        <f>_xlfn.XLOOKUP(C441,customers!$A$1:$A$1001,customers!$G$1:$G$1001,,0)</f>
        <v>Ireland</v>
      </c>
      <c r="I441" t="str">
        <f>INDEX(products!$B$1:$B$49,MATCH($D441,products!$A$1:$A$49,0))</f>
        <v>Exc</v>
      </c>
      <c r="J441" t="str">
        <f>INDEX(products!$C$1:$C$49,MATCH($D441,products!$A$1:$A$49,0))</f>
        <v>L</v>
      </c>
      <c r="K441" s="4">
        <f>INDEX(products!$D$1:$D$49,MATCH($D441,products!$A$1:$A$49,0))</f>
        <v>0.5</v>
      </c>
      <c r="L441" s="5">
        <f>INDEX(products!$E$1:$E$49,MATCH($D441,products!$A$1:$A$49,0))</f>
        <v>8.91</v>
      </c>
      <c r="M441" s="5">
        <f t="shared" si="6"/>
        <v>35.64</v>
      </c>
      <c r="N441" t="str" cm="1">
        <f t="array" ref="N441">_xlfn.IFS(I441="Rob","Robusta",I441="Exc","Excelsa",I441="Ara","Arabica",I441="Lib","Liberica")</f>
        <v>Excelsa</v>
      </c>
      <c r="O441" t="str" cm="1">
        <f t="array" ref="O441">_xlfn.SWITCH($J441,"M","Medium","L","Light","D","Dark")</f>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IF(_xlfn.XLOOKUP(C442,customers!$A$1:$A$1001,customers!$C$1:$C$1001,,0)=0,"Not _Provided",_xlfn.XLOOKUP(C442,customers!$A$1:$A$1001,customers!$C$1:$C$1001,,0))</f>
        <v>fhollowsc8@blogtalkradio.com</v>
      </c>
      <c r="H442" s="2" t="str">
        <f>_xlfn.XLOOKUP(C442,customers!$A$1:$A$1001,customers!$G$1:$G$1001,,0)</f>
        <v>United States</v>
      </c>
      <c r="I442" t="str">
        <f>INDEX(products!$B$1:$B$49,MATCH($D442,products!$A$1:$A$49,0))</f>
        <v>Ara</v>
      </c>
      <c r="J442" t="str">
        <f>INDEX(products!$C$1:$C$49,MATCH($D442,products!$A$1:$A$49,0))</f>
        <v>M</v>
      </c>
      <c r="K442" s="4">
        <f>INDEX(products!$D$1:$D$49,MATCH($D442,products!$A$1:$A$49,0))</f>
        <v>2.5</v>
      </c>
      <c r="L442" s="5">
        <f>INDEX(products!$E$1:$E$49,MATCH($D442,products!$A$1:$A$49,0))</f>
        <v>25.874999999999996</v>
      </c>
      <c r="M442" s="5">
        <f t="shared" si="6"/>
        <v>103.49999999999999</v>
      </c>
      <c r="N442" t="str" cm="1">
        <f t="array" ref="N442">_xlfn.IFS(I442="Rob","Robusta",I442="Exc","Excelsa",I442="Ara","Arabica",I442="Lib","Liberica")</f>
        <v>Arabica</v>
      </c>
      <c r="O442" t="str" cm="1">
        <f t="array" ref="O442">_xlfn.SWITCH($J442,"M","Medium","L","Light","D","Dark")</f>
        <v>Medium</v>
      </c>
      <c r="P442" t="str">
        <f>_xlfn.XLOOKUP(Table1[[#This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IF(_xlfn.XLOOKUP(C443,customers!$A$1:$A$1001,customers!$C$1:$C$1001,,0)=0,"Not _Provided",_xlfn.XLOOKUP(C443,customers!$A$1:$A$1001,customers!$C$1:$C$1001,,0))</f>
        <v>llathleiffc9@nationalgeographic.com</v>
      </c>
      <c r="H443" s="2" t="str">
        <f>_xlfn.XLOOKUP(C443,customers!$A$1:$A$1001,customers!$G$1:$G$1001,,0)</f>
        <v>Ireland</v>
      </c>
      <c r="I443" t="str">
        <f>INDEX(products!$B$1:$B$49,MATCH($D443,products!$A$1:$A$49,0))</f>
        <v>Exc</v>
      </c>
      <c r="J443" t="str">
        <f>INDEX(products!$C$1:$C$49,MATCH($D443,products!$A$1:$A$49,0))</f>
        <v>D</v>
      </c>
      <c r="K443" s="4">
        <f>INDEX(products!$D$1:$D$49,MATCH($D443,products!$A$1:$A$49,0))</f>
        <v>1</v>
      </c>
      <c r="L443" s="5">
        <f>INDEX(products!$E$1:$E$49,MATCH($D443,products!$A$1:$A$49,0))</f>
        <v>12.15</v>
      </c>
      <c r="M443" s="5">
        <f t="shared" si="6"/>
        <v>36.450000000000003</v>
      </c>
      <c r="N443" t="str" cm="1">
        <f t="array" ref="N443">_xlfn.IFS(I443="Rob","Robusta",I443="Exc","Excelsa",I443="Ara","Arabica",I443="Lib","Liberica")</f>
        <v>Excelsa</v>
      </c>
      <c r="O443" t="str" cm="1">
        <f t="array" ref="O443">_xlfn.SWITCH($J443,"M","Medium","L","Light","D","Dark")</f>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IF(_xlfn.XLOOKUP(C444,customers!$A$1:$A$1001,customers!$C$1:$C$1001,,0)=0,"Not _Provided",_xlfn.XLOOKUP(C444,customers!$A$1:$A$1001,customers!$C$1:$C$1001,,0))</f>
        <v>kheadsca@jalbum.net</v>
      </c>
      <c r="H444" s="2" t="str">
        <f>_xlfn.XLOOKUP(C444,customers!$A$1:$A$1001,customers!$G$1:$G$1001,,0)</f>
        <v>United States</v>
      </c>
      <c r="I444" t="str">
        <f>INDEX(products!$B$1:$B$49,MATCH($D444,products!$A$1:$A$49,0))</f>
        <v>Rob</v>
      </c>
      <c r="J444" t="str">
        <f>INDEX(products!$C$1:$C$49,MATCH($D444,products!$A$1:$A$49,0))</f>
        <v>L</v>
      </c>
      <c r="K444" s="4">
        <f>INDEX(products!$D$1:$D$49,MATCH($D444,products!$A$1:$A$49,0))</f>
        <v>0.5</v>
      </c>
      <c r="L444" s="5">
        <f>INDEX(products!$E$1:$E$49,MATCH($D444,products!$A$1:$A$49,0))</f>
        <v>7.169999999999999</v>
      </c>
      <c r="M444" s="5">
        <f t="shared" si="6"/>
        <v>35.849999999999994</v>
      </c>
      <c r="N444" t="str" cm="1">
        <f t="array" ref="N444">_xlfn.IFS(I444="Rob","Robusta",I444="Exc","Excelsa",I444="Ara","Arabica",I444="Lib","Liberica")</f>
        <v>Robusta</v>
      </c>
      <c r="O444" t="str" cm="1">
        <f t="array" ref="O444">_xlfn.SWITCH($J444,"M","Medium","L","Light","D","Dark")</f>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IF(_xlfn.XLOOKUP(C445,customers!$A$1:$A$1001,customers!$C$1:$C$1001,,0)=0,"Not _Provided",_xlfn.XLOOKUP(C445,customers!$A$1:$A$1001,customers!$C$1:$C$1001,,0))</f>
        <v>tbownecb@unicef.org</v>
      </c>
      <c r="H445" s="2" t="str">
        <f>_xlfn.XLOOKUP(C445,customers!$A$1:$A$1001,customers!$G$1:$G$1001,,0)</f>
        <v>Ireland</v>
      </c>
      <c r="I445" t="str">
        <f>INDEX(products!$B$1:$B$49,MATCH($D445,products!$A$1:$A$49,0))</f>
        <v>Exc</v>
      </c>
      <c r="J445" t="str">
        <f>INDEX(products!$C$1:$C$49,MATCH($D445,products!$A$1:$A$49,0))</f>
        <v>L</v>
      </c>
      <c r="K445" s="4">
        <f>INDEX(products!$D$1:$D$49,MATCH($D445,products!$A$1:$A$49,0))</f>
        <v>0.2</v>
      </c>
      <c r="L445" s="5">
        <f>INDEX(products!$E$1:$E$49,MATCH($D445,products!$A$1:$A$49,0))</f>
        <v>4.4550000000000001</v>
      </c>
      <c r="M445" s="5">
        <f t="shared" si="6"/>
        <v>22.274999999999999</v>
      </c>
      <c r="N445" t="str" cm="1">
        <f t="array" ref="N445">_xlfn.IFS(I445="Rob","Robusta",I445="Exc","Excelsa",I445="Ara","Arabica",I445="Lib","Liberica")</f>
        <v>Excelsa</v>
      </c>
      <c r="O445" t="str" cm="1">
        <f t="array" ref="O445">_xlfn.SWITCH($J445,"M","Medium","L","Light","D","Dark")</f>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IF(_xlfn.XLOOKUP(C446,customers!$A$1:$A$1001,customers!$C$1:$C$1001,,0)=0,"Not _Provided",_xlfn.XLOOKUP(C446,customers!$A$1:$A$1001,customers!$C$1:$C$1001,,0))</f>
        <v>rjacquemardcc@acquirethisname.com</v>
      </c>
      <c r="H446" s="2" t="str">
        <f>_xlfn.XLOOKUP(C446,customers!$A$1:$A$1001,customers!$G$1:$G$1001,,0)</f>
        <v>Ireland</v>
      </c>
      <c r="I446" t="str">
        <f>INDEX(products!$B$1:$B$49,MATCH($D446,products!$A$1:$A$49,0))</f>
        <v>Exc</v>
      </c>
      <c r="J446" t="str">
        <f>INDEX(products!$C$1:$C$49,MATCH($D446,products!$A$1:$A$49,0))</f>
        <v>M</v>
      </c>
      <c r="K446" s="4">
        <f>INDEX(products!$D$1:$D$49,MATCH($D446,products!$A$1:$A$49,0))</f>
        <v>0.2</v>
      </c>
      <c r="L446" s="5">
        <f>INDEX(products!$E$1:$E$49,MATCH($D446,products!$A$1:$A$49,0))</f>
        <v>4.125</v>
      </c>
      <c r="M446" s="5">
        <f t="shared" si="6"/>
        <v>24.75</v>
      </c>
      <c r="N446" t="str" cm="1">
        <f t="array" ref="N446">_xlfn.IFS(I446="Rob","Robusta",I446="Exc","Excelsa",I446="Ara","Arabica",I446="Lib","Liberica")</f>
        <v>Excelsa</v>
      </c>
      <c r="O446" t="str" cm="1">
        <f t="array" ref="O446">_xlfn.SWITCH($J446,"M","Medium","L","Light","D","Dark")</f>
        <v>Medium</v>
      </c>
      <c r="P446" t="str">
        <f>_xlfn.XLOOKUP(Table1[[#This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IF(_xlfn.XLOOKUP(C447,customers!$A$1:$A$1001,customers!$C$1:$C$1001,,0)=0,"Not _Provided",_xlfn.XLOOKUP(C447,customers!$A$1:$A$1001,customers!$C$1:$C$1001,,0))</f>
        <v>kwarmancd@printfriendly.com</v>
      </c>
      <c r="H447" s="2" t="str">
        <f>_xlfn.XLOOKUP(C447,customers!$A$1:$A$1001,customers!$G$1:$G$1001,,0)</f>
        <v>Ireland</v>
      </c>
      <c r="I447" t="str">
        <f>INDEX(products!$B$1:$B$49,MATCH($D447,products!$A$1:$A$49,0))</f>
        <v>Lib</v>
      </c>
      <c r="J447" t="str">
        <f>INDEX(products!$C$1:$C$49,MATCH($D447,products!$A$1:$A$49,0))</f>
        <v>M</v>
      </c>
      <c r="K447" s="4">
        <f>INDEX(products!$D$1:$D$49,MATCH($D447,products!$A$1:$A$49,0))</f>
        <v>2.5</v>
      </c>
      <c r="L447" s="5">
        <f>INDEX(products!$E$1:$E$49,MATCH($D447,products!$A$1:$A$49,0))</f>
        <v>33.464999999999996</v>
      </c>
      <c r="M447" s="5">
        <f t="shared" si="6"/>
        <v>66.929999999999993</v>
      </c>
      <c r="N447" t="str" cm="1">
        <f t="array" ref="N447">_xlfn.IFS(I447="Rob","Robusta",I447="Exc","Excelsa",I447="Ara","Arabica",I447="Lib","Liberica")</f>
        <v>Liberica</v>
      </c>
      <c r="O447" t="str" cm="1">
        <f t="array" ref="O447">_xlfn.SWITCH($J447,"M","Medium","L","Light","D","Dark")</f>
        <v>Medium</v>
      </c>
      <c r="P447" t="str">
        <f>_xlfn.XLOOKUP(Table1[[#This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IF(_xlfn.XLOOKUP(C448,customers!$A$1:$A$1001,customers!$C$1:$C$1001,,0)=0,"Not _Provided",_xlfn.XLOOKUP(C448,customers!$A$1:$A$1001,customers!$C$1:$C$1001,,0))</f>
        <v>wcholomince@about.com</v>
      </c>
      <c r="H448" s="2" t="str">
        <f>_xlfn.XLOOKUP(C448,customers!$A$1:$A$1001,customers!$G$1:$G$1001,,0)</f>
        <v>United Kingdom</v>
      </c>
      <c r="I448" t="str">
        <f>INDEX(products!$B$1:$B$49,MATCH($D448,products!$A$1:$A$49,0))</f>
        <v>Lib</v>
      </c>
      <c r="J448" t="str">
        <f>INDEX(products!$C$1:$C$49,MATCH($D448,products!$A$1:$A$49,0))</f>
        <v>M</v>
      </c>
      <c r="K448" s="4">
        <f>INDEX(products!$D$1:$D$49,MATCH($D448,products!$A$1:$A$49,0))</f>
        <v>0.5</v>
      </c>
      <c r="L448" s="5">
        <f>INDEX(products!$E$1:$E$49,MATCH($D448,products!$A$1:$A$49,0))</f>
        <v>8.73</v>
      </c>
      <c r="M448" s="5">
        <f t="shared" si="6"/>
        <v>8.73</v>
      </c>
      <c r="N448" t="str" cm="1">
        <f t="array" ref="N448">_xlfn.IFS(I448="Rob","Robusta",I448="Exc","Excelsa",I448="Ara","Arabica",I448="Lib","Liberica")</f>
        <v>Liberica</v>
      </c>
      <c r="O448" t="str" cm="1">
        <f t="array" ref="O448">_xlfn.SWITCH($J448,"M","Medium","L","Light","D","Dark")</f>
        <v>Medium</v>
      </c>
      <c r="P448" t="str">
        <f>_xlfn.XLOOKUP(Table1[[#This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IF(_xlfn.XLOOKUP(C449,customers!$A$1:$A$1001,customers!$C$1:$C$1001,,0)=0,"Not _Provided",_xlfn.XLOOKUP(C449,customers!$A$1:$A$1001,customers!$C$1:$C$1001,,0))</f>
        <v>abraidmancf@census.gov</v>
      </c>
      <c r="H449" s="2" t="str">
        <f>_xlfn.XLOOKUP(C449,customers!$A$1:$A$1001,customers!$G$1:$G$1001,,0)</f>
        <v>United States</v>
      </c>
      <c r="I449" t="str">
        <f>INDEX(products!$B$1:$B$49,MATCH($D449,products!$A$1:$A$49,0))</f>
        <v>Rob</v>
      </c>
      <c r="J449" t="str">
        <f>INDEX(products!$C$1:$C$49,MATCH($D449,products!$A$1:$A$49,0))</f>
        <v>M</v>
      </c>
      <c r="K449" s="4">
        <f>INDEX(products!$D$1:$D$49,MATCH($D449,products!$A$1:$A$49,0))</f>
        <v>0.5</v>
      </c>
      <c r="L449" s="5">
        <f>INDEX(products!$E$1:$E$49,MATCH($D449,products!$A$1:$A$49,0))</f>
        <v>5.97</v>
      </c>
      <c r="M449" s="5">
        <f t="shared" si="6"/>
        <v>17.91</v>
      </c>
      <c r="N449" t="str" cm="1">
        <f t="array" ref="N449">_xlfn.IFS(I449="Rob","Robusta",I449="Exc","Excelsa",I449="Ara","Arabica",I449="Lib","Liberica")</f>
        <v>Robusta</v>
      </c>
      <c r="O449" t="str" cm="1">
        <f t="array" ref="O449">_xlfn.SWITCH($J449,"M","Medium","L","Light","D","Dark")</f>
        <v>Medium</v>
      </c>
      <c r="P449" t="str">
        <f>_xlfn.XLOOKUP(Table1[[#This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IF(_xlfn.XLOOKUP(C450,customers!$A$1:$A$1001,customers!$C$1:$C$1001,,0)=0,"Not _Provided",_xlfn.XLOOKUP(C450,customers!$A$1:$A$1001,customers!$C$1:$C$1001,,0))</f>
        <v>pdurbancg@symantec.com</v>
      </c>
      <c r="H450" s="2" t="str">
        <f>_xlfn.XLOOKUP(C450,customers!$A$1:$A$1001,customers!$G$1:$G$1001,,0)</f>
        <v>Ireland</v>
      </c>
      <c r="I450" t="str">
        <f>INDEX(products!$B$1:$B$49,MATCH($D450,products!$A$1:$A$49,0))</f>
        <v>Rob</v>
      </c>
      <c r="J450" t="str">
        <f>INDEX(products!$C$1:$C$49,MATCH($D450,products!$A$1:$A$49,0))</f>
        <v>L</v>
      </c>
      <c r="K450" s="4">
        <f>INDEX(products!$D$1:$D$49,MATCH($D450,products!$A$1:$A$49,0))</f>
        <v>0.5</v>
      </c>
      <c r="L450" s="5">
        <f>INDEX(products!$E$1:$E$49,MATCH($D450,products!$A$1:$A$49,0))</f>
        <v>7.169999999999999</v>
      </c>
      <c r="M450" s="5">
        <f t="shared" si="6"/>
        <v>7.169999999999999</v>
      </c>
      <c r="N450" t="str" cm="1">
        <f t="array" ref="N450">_xlfn.IFS(I450="Rob","Robusta",I450="Exc","Excelsa",I450="Ara","Arabica",I450="Lib","Liberica")</f>
        <v>Robusta</v>
      </c>
      <c r="O450" t="str" cm="1">
        <f t="array" ref="O450">_xlfn.SWITCH($J450,"M","Medium","L","Light","D","Dark")</f>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IF(_xlfn.XLOOKUP(C451,customers!$A$1:$A$1001,customers!$C$1:$C$1001,,0)=0,"Not _Provided",_xlfn.XLOOKUP(C451,customers!$A$1:$A$1001,customers!$C$1:$C$1001,,0))</f>
        <v>aharroldch@miibeian.gov.cn</v>
      </c>
      <c r="H451" s="2" t="str">
        <f>_xlfn.XLOOKUP(C451,customers!$A$1:$A$1001,customers!$G$1:$G$1001,,0)</f>
        <v>United States</v>
      </c>
      <c r="I451" t="str">
        <f>INDEX(products!$B$1:$B$49,MATCH($D451,products!$A$1:$A$49,0))</f>
        <v>Rob</v>
      </c>
      <c r="J451" t="str">
        <f>INDEX(products!$C$1:$C$49,MATCH($D451,products!$A$1:$A$49,0))</f>
        <v>D</v>
      </c>
      <c r="K451" s="4">
        <f>INDEX(products!$D$1:$D$49,MATCH($D451,products!$A$1:$A$49,0))</f>
        <v>0.2</v>
      </c>
      <c r="L451" s="5">
        <f>INDEX(products!$E$1:$E$49,MATCH($D451,products!$A$1:$A$49,0))</f>
        <v>2.6849999999999996</v>
      </c>
      <c r="M451" s="5">
        <f t="shared" ref="M451:M514" si="7">E451*L451</f>
        <v>5.3699999999999992</v>
      </c>
      <c r="N451" t="str" cm="1">
        <f t="array" ref="N451">_xlfn.IFS(I451="Rob","Robusta",I451="Exc","Excelsa",I451="Ara","Arabica",I451="Lib","Liberica")</f>
        <v>Robusta</v>
      </c>
      <c r="O451" t="str" cm="1">
        <f t="array" ref="O451">_xlfn.SWITCH($J451,"M","Medium","L","Light","D","Dark")</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IF(_xlfn.XLOOKUP(C452,customers!$A$1:$A$1001,customers!$C$1:$C$1001,,0)=0,"Not _Provided",_xlfn.XLOOKUP(C452,customers!$A$1:$A$1001,customers!$C$1:$C$1001,,0))</f>
        <v>spamphilonci@mlb.com</v>
      </c>
      <c r="H452" s="2" t="str">
        <f>_xlfn.XLOOKUP(C452,customers!$A$1:$A$1001,customers!$G$1:$G$1001,,0)</f>
        <v>Ireland</v>
      </c>
      <c r="I452" t="str">
        <f>INDEX(products!$B$1:$B$49,MATCH($D452,products!$A$1:$A$49,0))</f>
        <v>Lib</v>
      </c>
      <c r="J452" t="str">
        <f>INDEX(products!$C$1:$C$49,MATCH($D452,products!$A$1:$A$49,0))</f>
        <v>L</v>
      </c>
      <c r="K452" s="4">
        <f>INDEX(products!$D$1:$D$49,MATCH($D452,products!$A$1:$A$49,0))</f>
        <v>0.2</v>
      </c>
      <c r="L452" s="5">
        <f>INDEX(products!$E$1:$E$49,MATCH($D452,products!$A$1:$A$49,0))</f>
        <v>4.7549999999999999</v>
      </c>
      <c r="M452" s="5">
        <f t="shared" si="7"/>
        <v>23.774999999999999</v>
      </c>
      <c r="N452" t="str" cm="1">
        <f t="array" ref="N452">_xlfn.IFS(I452="Rob","Robusta",I452="Exc","Excelsa",I452="Ara","Arabica",I452="Lib","Liberica")</f>
        <v>Liberica</v>
      </c>
      <c r="O452" t="str" cm="1">
        <f t="array" ref="O452">_xlfn.SWITCH($J452,"M","Medium","L","Light","D","Dark")</f>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IF(_xlfn.XLOOKUP(C453,customers!$A$1:$A$1001,customers!$C$1:$C$1001,,0)=0,"Not _Provided",_xlfn.XLOOKUP(C453,customers!$A$1:$A$1001,customers!$C$1:$C$1001,,0))</f>
        <v>mspurdencj@exblog.jp</v>
      </c>
      <c r="H453" s="2" t="str">
        <f>_xlfn.XLOOKUP(C453,customers!$A$1:$A$1001,customers!$G$1:$G$1001,,0)</f>
        <v>United States</v>
      </c>
      <c r="I453" t="str">
        <f>INDEX(products!$B$1:$B$49,MATCH($D453,products!$A$1:$A$49,0))</f>
        <v>Rob</v>
      </c>
      <c r="J453" t="str">
        <f>INDEX(products!$C$1:$C$49,MATCH($D453,products!$A$1:$A$49,0))</f>
        <v>D</v>
      </c>
      <c r="K453" s="4">
        <f>INDEX(products!$D$1:$D$49,MATCH($D453,products!$A$1:$A$49,0))</f>
        <v>2.5</v>
      </c>
      <c r="L453" s="5">
        <f>INDEX(products!$E$1:$E$49,MATCH($D453,products!$A$1:$A$49,0))</f>
        <v>20.584999999999997</v>
      </c>
      <c r="M453" s="5">
        <f t="shared" si="7"/>
        <v>41.169999999999995</v>
      </c>
      <c r="N453" t="str" cm="1">
        <f t="array" ref="N453">_xlfn.IFS(I453="Rob","Robusta",I453="Exc","Excelsa",I453="Ara","Arabica",I453="Lib","Liberica")</f>
        <v>Robusta</v>
      </c>
      <c r="O453" t="str" cm="1">
        <f t="array" ref="O453">_xlfn.SWITCH($J453,"M","Medium","L","Light","D","Dark")</f>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IF(_xlfn.XLOOKUP(C454,customers!$A$1:$A$1001,customers!$C$1:$C$1001,,0)=0,"Not _Provided",_xlfn.XLOOKUP(C454,customers!$A$1:$A$1001,customers!$C$1:$C$1001,,0))</f>
        <v>msesonck@census.gov</v>
      </c>
      <c r="H454" s="2" t="str">
        <f>_xlfn.XLOOKUP(C454,customers!$A$1:$A$1001,customers!$G$1:$G$1001,,0)</f>
        <v>United States</v>
      </c>
      <c r="I454" t="str">
        <f>INDEX(products!$B$1:$B$49,MATCH($D454,products!$A$1:$A$49,0))</f>
        <v>Ara</v>
      </c>
      <c r="J454" t="str">
        <f>INDEX(products!$C$1:$C$49,MATCH($D454,products!$A$1:$A$49,0))</f>
        <v>L</v>
      </c>
      <c r="K454" s="4">
        <f>INDEX(products!$D$1:$D$49,MATCH($D454,products!$A$1:$A$49,0))</f>
        <v>0.2</v>
      </c>
      <c r="L454" s="5">
        <f>INDEX(products!$E$1:$E$49,MATCH($D454,products!$A$1:$A$49,0))</f>
        <v>3.8849999999999998</v>
      </c>
      <c r="M454" s="5">
        <f t="shared" si="7"/>
        <v>11.654999999999999</v>
      </c>
      <c r="N454" t="str" cm="1">
        <f t="array" ref="N454">_xlfn.IFS(I454="Rob","Robusta",I454="Exc","Excelsa",I454="Ara","Arabica",I454="Lib","Liberica")</f>
        <v>Arabica</v>
      </c>
      <c r="O454" t="str" cm="1">
        <f t="array" ref="O454">_xlfn.SWITCH($J454,"M","Medium","L","Light","D","Dark")</f>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IF(_xlfn.XLOOKUP(C455,customers!$A$1:$A$1001,customers!$C$1:$C$1001,,0)=0,"Not _Provided",_xlfn.XLOOKUP(C455,customers!$A$1:$A$1001,customers!$C$1:$C$1001,,0))</f>
        <v>npirronecl@weibo.com</v>
      </c>
      <c r="H455" s="2" t="str">
        <f>_xlfn.XLOOKUP(C455,customers!$A$1:$A$1001,customers!$G$1:$G$1001,,0)</f>
        <v>United States</v>
      </c>
      <c r="I455" t="str">
        <f>INDEX(products!$B$1:$B$49,MATCH($D455,products!$A$1:$A$49,0))</f>
        <v>Lib</v>
      </c>
      <c r="J455" t="str">
        <f>INDEX(products!$C$1:$C$49,MATCH($D455,products!$A$1:$A$49,0))</f>
        <v>L</v>
      </c>
      <c r="K455" s="4">
        <f>INDEX(products!$D$1:$D$49,MATCH($D455,products!$A$1:$A$49,0))</f>
        <v>0.5</v>
      </c>
      <c r="L455" s="5">
        <f>INDEX(products!$E$1:$E$49,MATCH($D455,products!$A$1:$A$49,0))</f>
        <v>9.51</v>
      </c>
      <c r="M455" s="5">
        <f t="shared" si="7"/>
        <v>38.04</v>
      </c>
      <c r="N455" t="str" cm="1">
        <f t="array" ref="N455">_xlfn.IFS(I455="Rob","Robusta",I455="Exc","Excelsa",I455="Ara","Arabica",I455="Lib","Liberica")</f>
        <v>Liberica</v>
      </c>
      <c r="O455" t="str" cm="1">
        <f t="array" ref="O455">_xlfn.SWITCH($J455,"M","Medium","L","Light","D","Dark")</f>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IF(_xlfn.XLOOKUP(C456,customers!$A$1:$A$1001,customers!$C$1:$C$1001,,0)=0,"Not _Provided",_xlfn.XLOOKUP(C456,customers!$A$1:$A$1001,customers!$C$1:$C$1001,,0))</f>
        <v>rcawleycm@yellowbook.com</v>
      </c>
      <c r="H456" s="2" t="str">
        <f>_xlfn.XLOOKUP(C456,customers!$A$1:$A$1001,customers!$G$1:$G$1001,,0)</f>
        <v>Ireland</v>
      </c>
      <c r="I456" t="str">
        <f>INDEX(products!$B$1:$B$49,MATCH($D456,products!$A$1:$A$49,0))</f>
        <v>Rob</v>
      </c>
      <c r="J456" t="str">
        <f>INDEX(products!$C$1:$C$49,MATCH($D456,products!$A$1:$A$49,0))</f>
        <v>D</v>
      </c>
      <c r="K456" s="4">
        <f>INDEX(products!$D$1:$D$49,MATCH($D456,products!$A$1:$A$49,0))</f>
        <v>2.5</v>
      </c>
      <c r="L456" s="5">
        <f>INDEX(products!$E$1:$E$49,MATCH($D456,products!$A$1:$A$49,0))</f>
        <v>20.584999999999997</v>
      </c>
      <c r="M456" s="5">
        <f t="shared" si="7"/>
        <v>82.339999999999989</v>
      </c>
      <c r="N456" t="str" cm="1">
        <f t="array" ref="N456">_xlfn.IFS(I456="Rob","Robusta",I456="Exc","Excelsa",I456="Ara","Arabica",I456="Lib","Liberica")</f>
        <v>Robusta</v>
      </c>
      <c r="O456" t="str" cm="1">
        <f t="array" ref="O456">_xlfn.SWITCH($J456,"M","Medium","L","Light","D","Dark")</f>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IF(_xlfn.XLOOKUP(C457,customers!$A$1:$A$1001,customers!$C$1:$C$1001,,0)=0,"Not _Provided",_xlfn.XLOOKUP(C457,customers!$A$1:$A$1001,customers!$C$1:$C$1001,,0))</f>
        <v>sbarribalcn@microsoft.com</v>
      </c>
      <c r="H457" s="2" t="str">
        <f>_xlfn.XLOOKUP(C457,customers!$A$1:$A$1001,customers!$G$1:$G$1001,,0)</f>
        <v>Ireland</v>
      </c>
      <c r="I457" t="str">
        <f>INDEX(products!$B$1:$B$49,MATCH($D457,products!$A$1:$A$49,0))</f>
        <v>Lib</v>
      </c>
      <c r="J457" t="str">
        <f>INDEX(products!$C$1:$C$49,MATCH($D457,products!$A$1:$A$49,0))</f>
        <v>L</v>
      </c>
      <c r="K457" s="4">
        <f>INDEX(products!$D$1:$D$49,MATCH($D457,products!$A$1:$A$49,0))</f>
        <v>0.2</v>
      </c>
      <c r="L457" s="5">
        <f>INDEX(products!$E$1:$E$49,MATCH($D457,products!$A$1:$A$49,0))</f>
        <v>4.7549999999999999</v>
      </c>
      <c r="M457" s="5">
        <f t="shared" si="7"/>
        <v>9.51</v>
      </c>
      <c r="N457" t="str" cm="1">
        <f t="array" ref="N457">_xlfn.IFS(I457="Rob","Robusta",I457="Exc","Excelsa",I457="Ara","Arabica",I457="Lib","Liberica")</f>
        <v>Liberica</v>
      </c>
      <c r="O457" t="str" cm="1">
        <f t="array" ref="O457">_xlfn.SWITCH($J457,"M","Medium","L","Light","D","Dark")</f>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IF(_xlfn.XLOOKUP(C458,customers!$A$1:$A$1001,customers!$C$1:$C$1001,,0)=0,"Not _Provided",_xlfn.XLOOKUP(C458,customers!$A$1:$A$1001,customers!$C$1:$C$1001,,0))</f>
        <v>aadamidesco@bizjournals.com</v>
      </c>
      <c r="H458" s="2" t="str">
        <f>_xlfn.XLOOKUP(C458,customers!$A$1:$A$1001,customers!$G$1:$G$1001,,0)</f>
        <v>United Kingdom</v>
      </c>
      <c r="I458" t="str">
        <f>INDEX(products!$B$1:$B$49,MATCH($D458,products!$A$1:$A$49,0))</f>
        <v>Rob</v>
      </c>
      <c r="J458" t="str">
        <f>INDEX(products!$C$1:$C$49,MATCH($D458,products!$A$1:$A$49,0))</f>
        <v>D</v>
      </c>
      <c r="K458" s="4">
        <f>INDEX(products!$D$1:$D$49,MATCH($D458,products!$A$1:$A$49,0))</f>
        <v>2.5</v>
      </c>
      <c r="L458" s="5">
        <f>INDEX(products!$E$1:$E$49,MATCH($D458,products!$A$1:$A$49,0))</f>
        <v>20.584999999999997</v>
      </c>
      <c r="M458" s="5">
        <f t="shared" si="7"/>
        <v>41.169999999999995</v>
      </c>
      <c r="N458" t="str" cm="1">
        <f t="array" ref="N458">_xlfn.IFS(I458="Rob","Robusta",I458="Exc","Excelsa",I458="Ara","Arabica",I458="Lib","Liberica")</f>
        <v>Robusta</v>
      </c>
      <c r="O458" t="str" cm="1">
        <f t="array" ref="O458">_xlfn.SWITCH($J458,"M","Medium","L","Light","D","Dark")</f>
        <v>Dark</v>
      </c>
      <c r="P458" t="str">
        <f>_xlfn.XLOOKUP(Table1[[#This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IF(_xlfn.XLOOKUP(C459,customers!$A$1:$A$1001,customers!$C$1:$C$1001,,0)=0,"Not _Provided",_xlfn.XLOOKUP(C459,customers!$A$1:$A$1001,customers!$C$1:$C$1001,,0))</f>
        <v>cthowescp@craigslist.org</v>
      </c>
      <c r="H459" s="2" t="str">
        <f>_xlfn.XLOOKUP(C459,customers!$A$1:$A$1001,customers!$G$1:$G$1001,,0)</f>
        <v>United States</v>
      </c>
      <c r="I459" t="str">
        <f>INDEX(products!$B$1:$B$49,MATCH($D459,products!$A$1:$A$49,0))</f>
        <v>Lib</v>
      </c>
      <c r="J459" t="str">
        <f>INDEX(products!$C$1:$C$49,MATCH($D459,products!$A$1:$A$49,0))</f>
        <v>L</v>
      </c>
      <c r="K459" s="4">
        <f>INDEX(products!$D$1:$D$49,MATCH($D459,products!$A$1:$A$49,0))</f>
        <v>0.5</v>
      </c>
      <c r="L459" s="5">
        <f>INDEX(products!$E$1:$E$49,MATCH($D459,products!$A$1:$A$49,0))</f>
        <v>9.51</v>
      </c>
      <c r="M459" s="5">
        <f t="shared" si="7"/>
        <v>47.55</v>
      </c>
      <c r="N459" t="str" cm="1">
        <f t="array" ref="N459">_xlfn.IFS(I459="Rob","Robusta",I459="Exc","Excelsa",I459="Ara","Arabica",I459="Lib","Liberica")</f>
        <v>Liberica</v>
      </c>
      <c r="O459" t="str" cm="1">
        <f t="array" ref="O459">_xlfn.SWITCH($J459,"M","Medium","L","Light","D","Dark")</f>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IF(_xlfn.XLOOKUP(C460,customers!$A$1:$A$1001,customers!$C$1:$C$1001,,0)=0,"Not _Provided",_xlfn.XLOOKUP(C460,customers!$A$1:$A$1001,customers!$C$1:$C$1001,,0))</f>
        <v>rwillowaycq@admin.ch</v>
      </c>
      <c r="H460" s="2" t="str">
        <f>_xlfn.XLOOKUP(C460,customers!$A$1:$A$1001,customers!$G$1:$G$1001,,0)</f>
        <v>United States</v>
      </c>
      <c r="I460" t="str">
        <f>INDEX(products!$B$1:$B$49,MATCH($D460,products!$A$1:$A$49,0))</f>
        <v>Ara</v>
      </c>
      <c r="J460" t="str">
        <f>INDEX(products!$C$1:$C$49,MATCH($D460,products!$A$1:$A$49,0))</f>
        <v>M</v>
      </c>
      <c r="K460" s="4">
        <f>INDEX(products!$D$1:$D$49,MATCH($D460,products!$A$1:$A$49,0))</f>
        <v>1</v>
      </c>
      <c r="L460" s="5">
        <f>INDEX(products!$E$1:$E$49,MATCH($D460,products!$A$1:$A$49,0))</f>
        <v>11.25</v>
      </c>
      <c r="M460" s="5">
        <f t="shared" si="7"/>
        <v>45</v>
      </c>
      <c r="N460" t="str" cm="1">
        <f t="array" ref="N460">_xlfn.IFS(I460="Rob","Robusta",I460="Exc","Excelsa",I460="Ara","Arabica",I460="Lib","Liberica")</f>
        <v>Arabica</v>
      </c>
      <c r="O460" t="str" cm="1">
        <f t="array" ref="O460">_xlfn.SWITCH($J460,"M","Medium","L","Light","D","Dark")</f>
        <v>Medium</v>
      </c>
      <c r="P460" t="str">
        <f>_xlfn.XLOOKUP(Table1[[#This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IF(_xlfn.XLOOKUP(C461,customers!$A$1:$A$1001,customers!$C$1:$C$1001,,0)=0,"Not _Provided",_xlfn.XLOOKUP(C461,customers!$A$1:$A$1001,customers!$C$1:$C$1001,,0))</f>
        <v>aelwincr@privacy.gov.au</v>
      </c>
      <c r="H461" s="2" t="str">
        <f>_xlfn.XLOOKUP(C461,customers!$A$1:$A$1001,customers!$G$1:$G$1001,,0)</f>
        <v>United States</v>
      </c>
      <c r="I461" t="str">
        <f>INDEX(products!$B$1:$B$49,MATCH($D461,products!$A$1:$A$49,0))</f>
        <v>Lib</v>
      </c>
      <c r="J461" t="str">
        <f>INDEX(products!$C$1:$C$49,MATCH($D461,products!$A$1:$A$49,0))</f>
        <v>L</v>
      </c>
      <c r="K461" s="4">
        <f>INDEX(products!$D$1:$D$49,MATCH($D461,products!$A$1:$A$49,0))</f>
        <v>0.2</v>
      </c>
      <c r="L461" s="5">
        <f>INDEX(products!$E$1:$E$49,MATCH($D461,products!$A$1:$A$49,0))</f>
        <v>4.7549999999999999</v>
      </c>
      <c r="M461" s="5">
        <f t="shared" si="7"/>
        <v>23.774999999999999</v>
      </c>
      <c r="N461" t="str" cm="1">
        <f t="array" ref="N461">_xlfn.IFS(I461="Rob","Robusta",I461="Exc","Excelsa",I461="Ara","Arabica",I461="Lib","Liberica")</f>
        <v>Liberica</v>
      </c>
      <c r="O461" t="str" cm="1">
        <f t="array" ref="O461">_xlfn.SWITCH($J461,"M","Medium","L","Light","D","Dark")</f>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IF(_xlfn.XLOOKUP(C462,customers!$A$1:$A$1001,customers!$C$1:$C$1001,,0)=0,"Not _Provided",_xlfn.XLOOKUP(C462,customers!$A$1:$A$1001,customers!$C$1:$C$1001,,0))</f>
        <v>abilbrookcs@booking.com</v>
      </c>
      <c r="H462" s="2" t="str">
        <f>_xlfn.XLOOKUP(C462,customers!$A$1:$A$1001,customers!$G$1:$G$1001,,0)</f>
        <v>Ireland</v>
      </c>
      <c r="I462" t="str">
        <f>INDEX(products!$B$1:$B$49,MATCH($D462,products!$A$1:$A$49,0))</f>
        <v>Rob</v>
      </c>
      <c r="J462" t="str">
        <f>INDEX(products!$C$1:$C$49,MATCH($D462,products!$A$1:$A$49,0))</f>
        <v>D</v>
      </c>
      <c r="K462" s="4">
        <f>INDEX(products!$D$1:$D$49,MATCH($D462,products!$A$1:$A$49,0))</f>
        <v>0.5</v>
      </c>
      <c r="L462" s="5">
        <f>INDEX(products!$E$1:$E$49,MATCH($D462,products!$A$1:$A$49,0))</f>
        <v>5.3699999999999992</v>
      </c>
      <c r="M462" s="5">
        <f t="shared" si="7"/>
        <v>16.11</v>
      </c>
      <c r="N462" t="str" cm="1">
        <f t="array" ref="N462">_xlfn.IFS(I462="Rob","Robusta",I462="Exc","Excelsa",I462="Ara","Arabica",I462="Lib","Liberica")</f>
        <v>Robusta</v>
      </c>
      <c r="O462" t="str" cm="1">
        <f t="array" ref="O462">_xlfn.SWITCH($J462,"M","Medium","L","Light","D","Dark")</f>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IF(_xlfn.XLOOKUP(C463,customers!$A$1:$A$1001,customers!$C$1:$C$1001,,0)=0,"Not _Provided",_xlfn.XLOOKUP(C463,customers!$A$1:$A$1001,customers!$C$1:$C$1001,,0))</f>
        <v>rmckallct@sakura.ne.jp</v>
      </c>
      <c r="H463" s="2" t="str">
        <f>_xlfn.XLOOKUP(C463,customers!$A$1:$A$1001,customers!$G$1:$G$1001,,0)</f>
        <v>United Kingdom</v>
      </c>
      <c r="I463" t="str">
        <f>INDEX(products!$B$1:$B$49,MATCH($D463,products!$A$1:$A$49,0))</f>
        <v>Rob</v>
      </c>
      <c r="J463" t="str">
        <f>INDEX(products!$C$1:$C$49,MATCH($D463,products!$A$1:$A$49,0))</f>
        <v>D</v>
      </c>
      <c r="K463" s="4">
        <f>INDEX(products!$D$1:$D$49,MATCH($D463,products!$A$1:$A$49,0))</f>
        <v>0.2</v>
      </c>
      <c r="L463" s="5">
        <f>INDEX(products!$E$1:$E$49,MATCH($D463,products!$A$1:$A$49,0))</f>
        <v>2.6849999999999996</v>
      </c>
      <c r="M463" s="5">
        <f t="shared" si="7"/>
        <v>10.739999999999998</v>
      </c>
      <c r="N463" t="str" cm="1">
        <f t="array" ref="N463">_xlfn.IFS(I463="Rob","Robusta",I463="Exc","Excelsa",I463="Ara","Arabica",I463="Lib","Liberica")</f>
        <v>Robusta</v>
      </c>
      <c r="O463" t="str" cm="1">
        <f t="array" ref="O463">_xlfn.SWITCH($J463,"M","Medium","L","Light","D","Dark")</f>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IF(_xlfn.XLOOKUP(C464,customers!$A$1:$A$1001,customers!$C$1:$C$1001,,0)=0,"Not _Provided",_xlfn.XLOOKUP(C464,customers!$A$1:$A$1001,customers!$C$1:$C$1001,,0))</f>
        <v>bdailecu@vistaprint.com</v>
      </c>
      <c r="H464" s="2" t="str">
        <f>_xlfn.XLOOKUP(C464,customers!$A$1:$A$1001,customers!$G$1:$G$1001,,0)</f>
        <v>United States</v>
      </c>
      <c r="I464" t="str">
        <f>INDEX(products!$B$1:$B$49,MATCH($D464,products!$A$1:$A$49,0))</f>
        <v>Ara</v>
      </c>
      <c r="J464" t="str">
        <f>INDEX(products!$C$1:$C$49,MATCH($D464,products!$A$1:$A$49,0))</f>
        <v>D</v>
      </c>
      <c r="K464" s="4">
        <f>INDEX(products!$D$1:$D$49,MATCH($D464,products!$A$1:$A$49,0))</f>
        <v>1</v>
      </c>
      <c r="L464" s="5">
        <f>INDEX(products!$E$1:$E$49,MATCH($D464,products!$A$1:$A$49,0))</f>
        <v>9.9499999999999993</v>
      </c>
      <c r="M464" s="5">
        <f t="shared" si="7"/>
        <v>49.75</v>
      </c>
      <c r="N464" t="str" cm="1">
        <f t="array" ref="N464">_xlfn.IFS(I464="Rob","Robusta",I464="Exc","Excelsa",I464="Ara","Arabica",I464="Lib","Liberica")</f>
        <v>Arabica</v>
      </c>
      <c r="O464" t="str" cm="1">
        <f t="array" ref="O464">_xlfn.SWITCH($J464,"M","Medium","L","Light","D","Dark")</f>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IF(_xlfn.XLOOKUP(C465,customers!$A$1:$A$1001,customers!$C$1:$C$1001,,0)=0,"Not _Provided",_xlfn.XLOOKUP(C465,customers!$A$1:$A$1001,customers!$C$1:$C$1001,,0))</f>
        <v>atrehernecv@state.tx.us</v>
      </c>
      <c r="H465" s="2" t="str">
        <f>_xlfn.XLOOKUP(C465,customers!$A$1:$A$1001,customers!$G$1:$G$1001,,0)</f>
        <v>Ireland</v>
      </c>
      <c r="I465" t="str">
        <f>INDEX(products!$B$1:$B$49,MATCH($D465,products!$A$1:$A$49,0))</f>
        <v>Exc</v>
      </c>
      <c r="J465" t="str">
        <f>INDEX(products!$C$1:$C$49,MATCH($D465,products!$A$1:$A$49,0))</f>
        <v>M</v>
      </c>
      <c r="K465" s="4">
        <f>INDEX(products!$D$1:$D$49,MATCH($D465,products!$A$1:$A$49,0))</f>
        <v>1</v>
      </c>
      <c r="L465" s="5">
        <f>INDEX(products!$E$1:$E$49,MATCH($D465,products!$A$1:$A$49,0))</f>
        <v>13.75</v>
      </c>
      <c r="M465" s="5">
        <f t="shared" si="7"/>
        <v>27.5</v>
      </c>
      <c r="N465" t="str" cm="1">
        <f t="array" ref="N465">_xlfn.IFS(I465="Rob","Robusta",I465="Exc","Excelsa",I465="Ara","Arabica",I465="Lib","Liberica")</f>
        <v>Excelsa</v>
      </c>
      <c r="O465" t="str" cm="1">
        <f t="array" ref="O465">_xlfn.SWITCH($J465,"M","Medium","L","Light","D","Dark")</f>
        <v>Medium</v>
      </c>
      <c r="P465" t="str">
        <f>_xlfn.XLOOKUP(Table1[[#This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IF(_xlfn.XLOOKUP(C466,customers!$A$1:$A$1001,customers!$C$1:$C$1001,,0)=0,"Not _Provided",_xlfn.XLOOKUP(C466,customers!$A$1:$A$1001,customers!$C$1:$C$1001,,0))</f>
        <v>abrentnallcw@biglobe.ne.jp</v>
      </c>
      <c r="H466" s="2" t="str">
        <f>_xlfn.XLOOKUP(C466,customers!$A$1:$A$1001,customers!$G$1:$G$1001,,0)</f>
        <v>United Kingdom</v>
      </c>
      <c r="I466" t="str">
        <f>INDEX(products!$B$1:$B$49,MATCH($D466,products!$A$1:$A$49,0))</f>
        <v>Lib</v>
      </c>
      <c r="J466" t="str">
        <f>INDEX(products!$C$1:$C$49,MATCH($D466,products!$A$1:$A$49,0))</f>
        <v>D</v>
      </c>
      <c r="K466" s="4">
        <f>INDEX(products!$D$1:$D$49,MATCH($D466,products!$A$1:$A$49,0))</f>
        <v>2.5</v>
      </c>
      <c r="L466" s="5">
        <f>INDEX(products!$E$1:$E$49,MATCH($D466,products!$A$1:$A$49,0))</f>
        <v>29.784999999999997</v>
      </c>
      <c r="M466" s="5">
        <f t="shared" si="7"/>
        <v>119.13999999999999</v>
      </c>
      <c r="N466" t="str" cm="1">
        <f t="array" ref="N466">_xlfn.IFS(I466="Rob","Robusta",I466="Exc","Excelsa",I466="Ara","Arabica",I466="Lib","Liberica")</f>
        <v>Liberica</v>
      </c>
      <c r="O466" t="str" cm="1">
        <f t="array" ref="O466">_xlfn.SWITCH($J466,"M","Medium","L","Light","D","Dark")</f>
        <v>Dark</v>
      </c>
      <c r="P466" t="str">
        <f>_xlfn.XLOOKUP(Table1[[#This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IF(_xlfn.XLOOKUP(C467,customers!$A$1:$A$1001,customers!$C$1:$C$1001,,0)=0,"Not _Provided",_xlfn.XLOOKUP(C467,customers!$A$1:$A$1001,customers!$C$1:$C$1001,,0))</f>
        <v>ddrinkallcx@psu.edu</v>
      </c>
      <c r="H467" s="2" t="str">
        <f>_xlfn.XLOOKUP(C467,customers!$A$1:$A$1001,customers!$G$1:$G$1001,,0)</f>
        <v>United States</v>
      </c>
      <c r="I467" t="str">
        <f>INDEX(products!$B$1:$B$49,MATCH($D467,products!$A$1:$A$49,0))</f>
        <v>Rob</v>
      </c>
      <c r="J467" t="str">
        <f>INDEX(products!$C$1:$C$49,MATCH($D467,products!$A$1:$A$49,0))</f>
        <v>D</v>
      </c>
      <c r="K467" s="4">
        <f>INDEX(products!$D$1:$D$49,MATCH($D467,products!$A$1:$A$49,0))</f>
        <v>2.5</v>
      </c>
      <c r="L467" s="5">
        <f>INDEX(products!$E$1:$E$49,MATCH($D467,products!$A$1:$A$49,0))</f>
        <v>20.584999999999997</v>
      </c>
      <c r="M467" s="5">
        <f t="shared" si="7"/>
        <v>20.584999999999997</v>
      </c>
      <c r="N467" t="str" cm="1">
        <f t="array" ref="N467">_xlfn.IFS(I467="Rob","Robusta",I467="Exc","Excelsa",I467="Ara","Arabica",I467="Lib","Liberica")</f>
        <v>Robusta</v>
      </c>
      <c r="O467" t="str" cm="1">
        <f t="array" ref="O467">_xlfn.SWITCH($J467,"M","Medium","L","Light","D","Dark")</f>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IF(_xlfn.XLOOKUP(C468,customers!$A$1:$A$1001,customers!$C$1:$C$1001,,0)=0,"Not _Provided",_xlfn.XLOOKUP(C468,customers!$A$1:$A$1001,customers!$C$1:$C$1001,,0))</f>
        <v>dkornelcy@cyberchimps.com</v>
      </c>
      <c r="H468" s="2" t="str">
        <f>_xlfn.XLOOKUP(C468,customers!$A$1:$A$1001,customers!$G$1:$G$1001,,0)</f>
        <v>United States</v>
      </c>
      <c r="I468" t="str">
        <f>INDEX(products!$B$1:$B$49,MATCH($D468,products!$A$1:$A$49,0))</f>
        <v>Ara</v>
      </c>
      <c r="J468" t="str">
        <f>INDEX(products!$C$1:$C$49,MATCH($D468,products!$A$1:$A$49,0))</f>
        <v>D</v>
      </c>
      <c r="K468" s="4">
        <f>INDEX(products!$D$1:$D$49,MATCH($D468,products!$A$1:$A$49,0))</f>
        <v>0.2</v>
      </c>
      <c r="L468" s="5">
        <f>INDEX(products!$E$1:$E$49,MATCH($D468,products!$A$1:$A$49,0))</f>
        <v>2.9849999999999999</v>
      </c>
      <c r="M468" s="5">
        <f t="shared" si="7"/>
        <v>8.9550000000000001</v>
      </c>
      <c r="N468" t="str" cm="1">
        <f t="array" ref="N468">_xlfn.IFS(I468="Rob","Robusta",I468="Exc","Excelsa",I468="Ara","Arabica",I468="Lib","Liberica")</f>
        <v>Arabica</v>
      </c>
      <c r="O468" t="str" cm="1">
        <f t="array" ref="O468">_xlfn.SWITCH($J468,"M","Medium","L","Light","D","Dark")</f>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IF(_xlfn.XLOOKUP(C469,customers!$A$1:$A$1001,customers!$C$1:$C$1001,,0)=0,"Not _Provided",_xlfn.XLOOKUP(C469,customers!$A$1:$A$1001,customers!$C$1:$C$1001,,0))</f>
        <v>rlequeuxcz@newyorker.com</v>
      </c>
      <c r="H469" s="2" t="str">
        <f>_xlfn.XLOOKUP(C469,customers!$A$1:$A$1001,customers!$G$1:$G$1001,,0)</f>
        <v>United States</v>
      </c>
      <c r="I469" t="str">
        <f>INDEX(products!$B$1:$B$49,MATCH($D469,products!$A$1:$A$49,0))</f>
        <v>Ara</v>
      </c>
      <c r="J469" t="str">
        <f>INDEX(products!$C$1:$C$49,MATCH($D469,products!$A$1:$A$49,0))</f>
        <v>D</v>
      </c>
      <c r="K469" s="4">
        <f>INDEX(products!$D$1:$D$49,MATCH($D469,products!$A$1:$A$49,0))</f>
        <v>0.5</v>
      </c>
      <c r="L469" s="5">
        <f>INDEX(products!$E$1:$E$49,MATCH($D469,products!$A$1:$A$49,0))</f>
        <v>5.97</v>
      </c>
      <c r="M469" s="5">
        <f t="shared" si="7"/>
        <v>5.97</v>
      </c>
      <c r="N469" t="str" cm="1">
        <f t="array" ref="N469">_xlfn.IFS(I469="Rob","Robusta",I469="Exc","Excelsa",I469="Ara","Arabica",I469="Lib","Liberica")</f>
        <v>Arabica</v>
      </c>
      <c r="O469" t="str" cm="1">
        <f t="array" ref="O469">_xlfn.SWITCH($J469,"M","Medium","L","Light","D","Dark")</f>
        <v>Dark</v>
      </c>
      <c r="P469" t="str">
        <f>_xlfn.XLOOKUP(Table1[[#This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IF(_xlfn.XLOOKUP(C470,customers!$A$1:$A$1001,customers!$C$1:$C$1001,,0)=0,"Not _Provided",_xlfn.XLOOKUP(C470,customers!$A$1:$A$1001,customers!$C$1:$C$1001,,0))</f>
        <v>jmccaulld0@parallels.com</v>
      </c>
      <c r="H470" s="2" t="str">
        <f>_xlfn.XLOOKUP(C470,customers!$A$1:$A$1001,customers!$G$1:$G$1001,,0)</f>
        <v>United States</v>
      </c>
      <c r="I470" t="str">
        <f>INDEX(products!$B$1:$B$49,MATCH($D470,products!$A$1:$A$49,0))</f>
        <v>Exc</v>
      </c>
      <c r="J470" t="str">
        <f>INDEX(products!$C$1:$C$49,MATCH($D470,products!$A$1:$A$49,0))</f>
        <v>M</v>
      </c>
      <c r="K470" s="4">
        <f>INDEX(products!$D$1:$D$49,MATCH($D470,products!$A$1:$A$49,0))</f>
        <v>1</v>
      </c>
      <c r="L470" s="5">
        <f>INDEX(products!$E$1:$E$49,MATCH($D470,products!$A$1:$A$49,0))</f>
        <v>13.75</v>
      </c>
      <c r="M470" s="5">
        <f t="shared" si="7"/>
        <v>41.25</v>
      </c>
      <c r="N470" t="str" cm="1">
        <f t="array" ref="N470">_xlfn.IFS(I470="Rob","Robusta",I470="Exc","Excelsa",I470="Ara","Arabica",I470="Lib","Liberica")</f>
        <v>Excelsa</v>
      </c>
      <c r="O470" t="str" cm="1">
        <f t="array" ref="O470">_xlfn.SWITCH($J470,"M","Medium","L","Light","D","Dark")</f>
        <v>Medium</v>
      </c>
      <c r="P470" t="str">
        <f>_xlfn.XLOOKUP(Table1[[#This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IF(_xlfn.XLOOKUP(C471,customers!$A$1:$A$1001,customers!$C$1:$C$1001,,0)=0,"Not _Provided",_xlfn.XLOOKUP(C471,customers!$A$1:$A$1001,customers!$C$1:$C$1001,,0))</f>
        <v>abrashda@plala.or.jp</v>
      </c>
      <c r="H471" s="2" t="str">
        <f>_xlfn.XLOOKUP(C471,customers!$A$1:$A$1001,customers!$G$1:$G$1001,,0)</f>
        <v>United States</v>
      </c>
      <c r="I471" t="str">
        <f>INDEX(products!$B$1:$B$49,MATCH($D471,products!$A$1:$A$49,0))</f>
        <v>Exc</v>
      </c>
      <c r="J471" t="str">
        <f>INDEX(products!$C$1:$C$49,MATCH($D471,products!$A$1:$A$49,0))</f>
        <v>L</v>
      </c>
      <c r="K471" s="4">
        <f>INDEX(products!$D$1:$D$49,MATCH($D471,products!$A$1:$A$49,0))</f>
        <v>0.2</v>
      </c>
      <c r="L471" s="5">
        <f>INDEX(products!$E$1:$E$49,MATCH($D471,products!$A$1:$A$49,0))</f>
        <v>4.4550000000000001</v>
      </c>
      <c r="M471" s="5">
        <f t="shared" si="7"/>
        <v>22.274999999999999</v>
      </c>
      <c r="N471" t="str" cm="1">
        <f t="array" ref="N471">_xlfn.IFS(I471="Rob","Robusta",I471="Exc","Excelsa",I471="Ara","Arabica",I471="Lib","Liberica")</f>
        <v>Excelsa</v>
      </c>
      <c r="O471" t="str" cm="1">
        <f t="array" ref="O471">_xlfn.SWITCH($J471,"M","Medium","L","Light","D","Dark")</f>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IF(_xlfn.XLOOKUP(C472,customers!$A$1:$A$1001,customers!$C$1:$C$1001,,0)=0,"Not _Provided",_xlfn.XLOOKUP(C472,customers!$A$1:$A$1001,customers!$C$1:$C$1001,,0))</f>
        <v>ahutchinsond2@imgur.com</v>
      </c>
      <c r="H472" s="2" t="str">
        <f>_xlfn.XLOOKUP(C472,customers!$A$1:$A$1001,customers!$G$1:$G$1001,,0)</f>
        <v>United States</v>
      </c>
      <c r="I472" t="str">
        <f>INDEX(products!$B$1:$B$49,MATCH($D472,products!$A$1:$A$49,0))</f>
        <v>Ara</v>
      </c>
      <c r="J472" t="str">
        <f>INDEX(products!$C$1:$C$49,MATCH($D472,products!$A$1:$A$49,0))</f>
        <v>M</v>
      </c>
      <c r="K472" s="4">
        <f>INDEX(products!$D$1:$D$49,MATCH($D472,products!$A$1:$A$49,0))</f>
        <v>0.5</v>
      </c>
      <c r="L472" s="5">
        <f>INDEX(products!$E$1:$E$49,MATCH($D472,products!$A$1:$A$49,0))</f>
        <v>6.75</v>
      </c>
      <c r="M472" s="5">
        <f t="shared" si="7"/>
        <v>6.75</v>
      </c>
      <c r="N472" t="str" cm="1">
        <f t="array" ref="N472">_xlfn.IFS(I472="Rob","Robusta",I472="Exc","Excelsa",I472="Ara","Arabica",I472="Lib","Liberica")</f>
        <v>Arabica</v>
      </c>
      <c r="O472" t="str" cm="1">
        <f t="array" ref="O472">_xlfn.SWITCH($J472,"M","Medium","L","Light","D","Dark")</f>
        <v>Medium</v>
      </c>
      <c r="P472" t="str">
        <f>_xlfn.XLOOKUP(Table1[[#This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IF(_xlfn.XLOOKUP(C473,customers!$A$1:$A$1001,customers!$C$1:$C$1001,,0)=0,"Not _Provided",_xlfn.XLOOKUP(C473,customers!$A$1:$A$1001,customers!$C$1:$C$1001,,0))</f>
        <v>Not _Provided</v>
      </c>
      <c r="H473" s="2" t="str">
        <f>_xlfn.XLOOKUP(C473,customers!$A$1:$A$1001,customers!$G$1:$G$1001,,0)</f>
        <v>United States</v>
      </c>
      <c r="I473" t="str">
        <f>INDEX(products!$B$1:$B$49,MATCH($D473,products!$A$1:$A$49,0))</f>
        <v>Lib</v>
      </c>
      <c r="J473" t="str">
        <f>INDEX(products!$C$1:$C$49,MATCH($D473,products!$A$1:$A$49,0))</f>
        <v>M</v>
      </c>
      <c r="K473" s="4">
        <f>INDEX(products!$D$1:$D$49,MATCH($D473,products!$A$1:$A$49,0))</f>
        <v>2.5</v>
      </c>
      <c r="L473" s="5">
        <f>INDEX(products!$E$1:$E$49,MATCH($D473,products!$A$1:$A$49,0))</f>
        <v>33.464999999999996</v>
      </c>
      <c r="M473" s="5">
        <f t="shared" si="7"/>
        <v>133.85999999999999</v>
      </c>
      <c r="N473" t="str" cm="1">
        <f t="array" ref="N473">_xlfn.IFS(I473="Rob","Robusta",I473="Exc","Excelsa",I473="Ara","Arabica",I473="Lib","Liberica")</f>
        <v>Liberica</v>
      </c>
      <c r="O473" t="str" cm="1">
        <f t="array" ref="O473">_xlfn.SWITCH($J473,"M","Medium","L","Light","D","Dark")</f>
        <v>Medium</v>
      </c>
      <c r="P473" t="str">
        <f>_xlfn.XLOOKUP(Table1[[#This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IF(_xlfn.XLOOKUP(C474,customers!$A$1:$A$1001,customers!$C$1:$C$1001,,0)=0,"Not _Provided",_xlfn.XLOOKUP(C474,customers!$A$1:$A$1001,customers!$C$1:$C$1001,,0))</f>
        <v>rdriversd4@hexun.com</v>
      </c>
      <c r="H474" s="2" t="str">
        <f>_xlfn.XLOOKUP(C474,customers!$A$1:$A$1001,customers!$G$1:$G$1001,,0)</f>
        <v>United States</v>
      </c>
      <c r="I474" t="str">
        <f>INDEX(products!$B$1:$B$49,MATCH($D474,products!$A$1:$A$49,0))</f>
        <v>Ara</v>
      </c>
      <c r="J474" t="str">
        <f>INDEX(products!$C$1:$C$49,MATCH($D474,products!$A$1:$A$49,0))</f>
        <v>D</v>
      </c>
      <c r="K474" s="4">
        <f>INDEX(products!$D$1:$D$49,MATCH($D474,products!$A$1:$A$49,0))</f>
        <v>0.2</v>
      </c>
      <c r="L474" s="5">
        <f>INDEX(products!$E$1:$E$49,MATCH($D474,products!$A$1:$A$49,0))</f>
        <v>2.9849999999999999</v>
      </c>
      <c r="M474" s="5">
        <f t="shared" si="7"/>
        <v>5.97</v>
      </c>
      <c r="N474" t="str" cm="1">
        <f t="array" ref="N474">_xlfn.IFS(I474="Rob","Robusta",I474="Exc","Excelsa",I474="Ara","Arabica",I474="Lib","Liberica")</f>
        <v>Arabica</v>
      </c>
      <c r="O474" t="str" cm="1">
        <f t="array" ref="O474">_xlfn.SWITCH($J474,"M","Medium","L","Light","D","Dark")</f>
        <v>Dark</v>
      </c>
      <c r="P474" t="str">
        <f>_xlfn.XLOOKUP(Table1[[#This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IF(_xlfn.XLOOKUP(C475,customers!$A$1:$A$1001,customers!$C$1:$C$1001,,0)=0,"Not _Provided",_xlfn.XLOOKUP(C475,customers!$A$1:$A$1001,customers!$C$1:$C$1001,,0))</f>
        <v>hzeald5@google.de</v>
      </c>
      <c r="H475" s="2" t="str">
        <f>_xlfn.XLOOKUP(C475,customers!$A$1:$A$1001,customers!$G$1:$G$1001,,0)</f>
        <v>United States</v>
      </c>
      <c r="I475" t="str">
        <f>INDEX(products!$B$1:$B$49,MATCH($D475,products!$A$1:$A$49,0))</f>
        <v>Ara</v>
      </c>
      <c r="J475" t="str">
        <f>INDEX(products!$C$1:$C$49,MATCH($D475,products!$A$1:$A$49,0))</f>
        <v>L</v>
      </c>
      <c r="K475" s="4">
        <f>INDEX(products!$D$1:$D$49,MATCH($D475,products!$A$1:$A$49,0))</f>
        <v>1</v>
      </c>
      <c r="L475" s="5">
        <f>INDEX(products!$E$1:$E$49,MATCH($D475,products!$A$1:$A$49,0))</f>
        <v>12.95</v>
      </c>
      <c r="M475" s="5">
        <f t="shared" si="7"/>
        <v>25.9</v>
      </c>
      <c r="N475" t="str" cm="1">
        <f t="array" ref="N475">_xlfn.IFS(I475="Rob","Robusta",I475="Exc","Excelsa",I475="Ara","Arabica",I475="Lib","Liberica")</f>
        <v>Arabica</v>
      </c>
      <c r="O475" t="str" cm="1">
        <f t="array" ref="O475">_xlfn.SWITCH($J475,"M","Medium","L","Light","D","Dark")</f>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IF(_xlfn.XLOOKUP(C476,customers!$A$1:$A$1001,customers!$C$1:$C$1001,,0)=0,"Not _Provided",_xlfn.XLOOKUP(C476,customers!$A$1:$A$1001,customers!$C$1:$C$1001,,0))</f>
        <v>gsmallcombed6@ucla.edu</v>
      </c>
      <c r="H476" s="2" t="str">
        <f>_xlfn.XLOOKUP(C476,customers!$A$1:$A$1001,customers!$G$1:$G$1001,,0)</f>
        <v>Ireland</v>
      </c>
      <c r="I476" t="str">
        <f>INDEX(products!$B$1:$B$49,MATCH($D476,products!$A$1:$A$49,0))</f>
        <v>Exc</v>
      </c>
      <c r="J476" t="str">
        <f>INDEX(products!$C$1:$C$49,MATCH($D476,products!$A$1:$A$49,0))</f>
        <v>M</v>
      </c>
      <c r="K476" s="4">
        <f>INDEX(products!$D$1:$D$49,MATCH($D476,products!$A$1:$A$49,0))</f>
        <v>2.5</v>
      </c>
      <c r="L476" s="5">
        <f>INDEX(products!$E$1:$E$49,MATCH($D476,products!$A$1:$A$49,0))</f>
        <v>31.624999999999996</v>
      </c>
      <c r="M476" s="5">
        <f t="shared" si="7"/>
        <v>31.624999999999996</v>
      </c>
      <c r="N476" t="str" cm="1">
        <f t="array" ref="N476">_xlfn.IFS(I476="Rob","Robusta",I476="Exc","Excelsa",I476="Ara","Arabica",I476="Lib","Liberica")</f>
        <v>Excelsa</v>
      </c>
      <c r="O476" t="str" cm="1">
        <f t="array" ref="O476">_xlfn.SWITCH($J476,"M","Medium","L","Light","D","Dark")</f>
        <v>Medium</v>
      </c>
      <c r="P476" t="str">
        <f>_xlfn.XLOOKUP(Table1[[#This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IF(_xlfn.XLOOKUP(C477,customers!$A$1:$A$1001,customers!$C$1:$C$1001,,0)=0,"Not _Provided",_xlfn.XLOOKUP(C477,customers!$A$1:$A$1001,customers!$C$1:$C$1001,,0))</f>
        <v>ddibleyd7@feedburner.com</v>
      </c>
      <c r="H477" s="2" t="str">
        <f>_xlfn.XLOOKUP(C477,customers!$A$1:$A$1001,customers!$G$1:$G$1001,,0)</f>
        <v>United States</v>
      </c>
      <c r="I477" t="str">
        <f>INDEX(products!$B$1:$B$49,MATCH($D477,products!$A$1:$A$49,0))</f>
        <v>Lib</v>
      </c>
      <c r="J477" t="str">
        <f>INDEX(products!$C$1:$C$49,MATCH($D477,products!$A$1:$A$49,0))</f>
        <v>M</v>
      </c>
      <c r="K477" s="4">
        <f>INDEX(products!$D$1:$D$49,MATCH($D477,products!$A$1:$A$49,0))</f>
        <v>0.2</v>
      </c>
      <c r="L477" s="5">
        <f>INDEX(products!$E$1:$E$49,MATCH($D477,products!$A$1:$A$49,0))</f>
        <v>4.3650000000000002</v>
      </c>
      <c r="M477" s="5">
        <f t="shared" si="7"/>
        <v>8.73</v>
      </c>
      <c r="N477" t="str" cm="1">
        <f t="array" ref="N477">_xlfn.IFS(I477="Rob","Robusta",I477="Exc","Excelsa",I477="Ara","Arabica",I477="Lib","Liberica")</f>
        <v>Liberica</v>
      </c>
      <c r="O477" t="str" cm="1">
        <f t="array" ref="O477">_xlfn.SWITCH($J477,"M","Medium","L","Light","D","Dark")</f>
        <v>Medium</v>
      </c>
      <c r="P477" t="str">
        <f>_xlfn.XLOOKUP(Table1[[#This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IF(_xlfn.XLOOKUP(C478,customers!$A$1:$A$1001,customers!$C$1:$C$1001,,0)=0,"Not _Provided",_xlfn.XLOOKUP(C478,customers!$A$1:$A$1001,customers!$C$1:$C$1001,,0))</f>
        <v>gdimitrioud8@chronoengine.com</v>
      </c>
      <c r="H478" s="2" t="str">
        <f>_xlfn.XLOOKUP(C478,customers!$A$1:$A$1001,customers!$G$1:$G$1001,,0)</f>
        <v>United States</v>
      </c>
      <c r="I478" t="str">
        <f>INDEX(products!$B$1:$B$49,MATCH($D478,products!$A$1:$A$49,0))</f>
        <v>Exc</v>
      </c>
      <c r="J478" t="str">
        <f>INDEX(products!$C$1:$C$49,MATCH($D478,products!$A$1:$A$49,0))</f>
        <v>L</v>
      </c>
      <c r="K478" s="4">
        <f>INDEX(products!$D$1:$D$49,MATCH($D478,products!$A$1:$A$49,0))</f>
        <v>0.2</v>
      </c>
      <c r="L478" s="5">
        <f>INDEX(products!$E$1:$E$49,MATCH($D478,products!$A$1:$A$49,0))</f>
        <v>4.4550000000000001</v>
      </c>
      <c r="M478" s="5">
        <f t="shared" si="7"/>
        <v>26.73</v>
      </c>
      <c r="N478" t="str" cm="1">
        <f t="array" ref="N478">_xlfn.IFS(I478="Rob","Robusta",I478="Exc","Excelsa",I478="Ara","Arabica",I478="Lib","Liberica")</f>
        <v>Excelsa</v>
      </c>
      <c r="O478" t="str" cm="1">
        <f t="array" ref="O478">_xlfn.SWITCH($J478,"M","Medium","L","Light","D","Dark")</f>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IF(_xlfn.XLOOKUP(C479,customers!$A$1:$A$1001,customers!$C$1:$C$1001,,0)=0,"Not _Provided",_xlfn.XLOOKUP(C479,customers!$A$1:$A$1001,customers!$C$1:$C$1001,,0))</f>
        <v>fflanagand9@woothemes.com</v>
      </c>
      <c r="H479" s="2" t="str">
        <f>_xlfn.XLOOKUP(C479,customers!$A$1:$A$1001,customers!$G$1:$G$1001,,0)</f>
        <v>United States</v>
      </c>
      <c r="I479" t="str">
        <f>INDEX(products!$B$1:$B$49,MATCH($D479,products!$A$1:$A$49,0))</f>
        <v>Lib</v>
      </c>
      <c r="J479" t="str">
        <f>INDEX(products!$C$1:$C$49,MATCH($D479,products!$A$1:$A$49,0))</f>
        <v>M</v>
      </c>
      <c r="K479" s="4">
        <f>INDEX(products!$D$1:$D$49,MATCH($D479,products!$A$1:$A$49,0))</f>
        <v>0.2</v>
      </c>
      <c r="L479" s="5">
        <f>INDEX(products!$E$1:$E$49,MATCH($D479,products!$A$1:$A$49,0))</f>
        <v>4.3650000000000002</v>
      </c>
      <c r="M479" s="5">
        <f t="shared" si="7"/>
        <v>26.19</v>
      </c>
      <c r="N479" t="str" cm="1">
        <f t="array" ref="N479">_xlfn.IFS(I479="Rob","Robusta",I479="Exc","Excelsa",I479="Ara","Arabica",I479="Lib","Liberica")</f>
        <v>Liberica</v>
      </c>
      <c r="O479" t="str" cm="1">
        <f t="array" ref="O479">_xlfn.SWITCH($J479,"M","Medium","L","Light","D","Dark")</f>
        <v>Medium</v>
      </c>
      <c r="P479" t="str">
        <f>_xlfn.XLOOKUP(Table1[[#This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IF(_xlfn.XLOOKUP(C480,customers!$A$1:$A$1001,customers!$C$1:$C$1001,,0)=0,"Not _Provided",_xlfn.XLOOKUP(C480,customers!$A$1:$A$1001,customers!$C$1:$C$1001,,0))</f>
        <v>abrashda@plala.or.jp</v>
      </c>
      <c r="H480" s="2" t="str">
        <f>_xlfn.XLOOKUP(C480,customers!$A$1:$A$1001,customers!$G$1:$G$1001,,0)</f>
        <v>United States</v>
      </c>
      <c r="I480" t="str">
        <f>INDEX(products!$B$1:$B$49,MATCH($D480,products!$A$1:$A$49,0))</f>
        <v>Rob</v>
      </c>
      <c r="J480" t="str">
        <f>INDEX(products!$C$1:$C$49,MATCH($D480,products!$A$1:$A$49,0))</f>
        <v>D</v>
      </c>
      <c r="K480" s="4">
        <f>INDEX(products!$D$1:$D$49,MATCH($D480,products!$A$1:$A$49,0))</f>
        <v>1</v>
      </c>
      <c r="L480" s="5">
        <f>INDEX(products!$E$1:$E$49,MATCH($D480,products!$A$1:$A$49,0))</f>
        <v>8.9499999999999993</v>
      </c>
      <c r="M480" s="5">
        <f t="shared" si="7"/>
        <v>53.699999999999996</v>
      </c>
      <c r="N480" t="str" cm="1">
        <f t="array" ref="N480">_xlfn.IFS(I480="Rob","Robusta",I480="Exc","Excelsa",I480="Ara","Arabica",I480="Lib","Liberica")</f>
        <v>Robusta</v>
      </c>
      <c r="O480" t="str" cm="1">
        <f t="array" ref="O480">_xlfn.SWITCH($J480,"M","Medium","L","Light","D","Dark")</f>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IF(_xlfn.XLOOKUP(C481,customers!$A$1:$A$1001,customers!$C$1:$C$1001,,0)=0,"Not _Provided",_xlfn.XLOOKUP(C481,customers!$A$1:$A$1001,customers!$C$1:$C$1001,,0))</f>
        <v>abrashda@plala.or.jp</v>
      </c>
      <c r="H481" s="2" t="str">
        <f>_xlfn.XLOOKUP(C481,customers!$A$1:$A$1001,customers!$G$1:$G$1001,,0)</f>
        <v>United States</v>
      </c>
      <c r="I481" t="str">
        <f>INDEX(products!$B$1:$B$49,MATCH($D481,products!$A$1:$A$49,0))</f>
        <v>Exc</v>
      </c>
      <c r="J481" t="str">
        <f>INDEX(products!$C$1:$C$49,MATCH($D481,products!$A$1:$A$49,0))</f>
        <v>M</v>
      </c>
      <c r="K481" s="4">
        <f>INDEX(products!$D$1:$D$49,MATCH($D481,products!$A$1:$A$49,0))</f>
        <v>2.5</v>
      </c>
      <c r="L481" s="5">
        <f>INDEX(products!$E$1:$E$49,MATCH($D481,products!$A$1:$A$49,0))</f>
        <v>31.624999999999996</v>
      </c>
      <c r="M481" s="5">
        <f t="shared" si="7"/>
        <v>126.49999999999999</v>
      </c>
      <c r="N481" t="str" cm="1">
        <f t="array" ref="N481">_xlfn.IFS(I481="Rob","Robusta",I481="Exc","Excelsa",I481="Ara","Arabica",I481="Lib","Liberica")</f>
        <v>Excelsa</v>
      </c>
      <c r="O481" t="str" cm="1">
        <f t="array" ref="O481">_xlfn.SWITCH($J481,"M","Medium","L","Light","D","Dark")</f>
        <v>Medium</v>
      </c>
      <c r="P481" t="str">
        <f>_xlfn.XLOOKUP(Table1[[#This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IF(_xlfn.XLOOKUP(C482,customers!$A$1:$A$1001,customers!$C$1:$C$1001,,0)=0,"Not _Provided",_xlfn.XLOOKUP(C482,customers!$A$1:$A$1001,customers!$C$1:$C$1001,,0))</f>
        <v>abrashda@plala.or.jp</v>
      </c>
      <c r="H482" s="2" t="str">
        <f>_xlfn.XLOOKUP(C482,customers!$A$1:$A$1001,customers!$G$1:$G$1001,,0)</f>
        <v>United States</v>
      </c>
      <c r="I482" t="str">
        <f>INDEX(products!$B$1:$B$49,MATCH($D482,products!$A$1:$A$49,0))</f>
        <v>Exc</v>
      </c>
      <c r="J482" t="str">
        <f>INDEX(products!$C$1:$C$49,MATCH($D482,products!$A$1:$A$49,0))</f>
        <v>M</v>
      </c>
      <c r="K482" s="4">
        <f>INDEX(products!$D$1:$D$49,MATCH($D482,products!$A$1:$A$49,0))</f>
        <v>0.2</v>
      </c>
      <c r="L482" s="5">
        <f>INDEX(products!$E$1:$E$49,MATCH($D482,products!$A$1:$A$49,0))</f>
        <v>4.125</v>
      </c>
      <c r="M482" s="5">
        <f t="shared" si="7"/>
        <v>4.125</v>
      </c>
      <c r="N482" t="str" cm="1">
        <f t="array" ref="N482">_xlfn.IFS(I482="Rob","Robusta",I482="Exc","Excelsa",I482="Ara","Arabica",I482="Lib","Liberica")</f>
        <v>Excelsa</v>
      </c>
      <c r="O482" t="str" cm="1">
        <f t="array" ref="O482">_xlfn.SWITCH($J482,"M","Medium","L","Light","D","Dark")</f>
        <v>Medium</v>
      </c>
      <c r="P482" t="str">
        <f>_xlfn.XLOOKUP(Table1[[#This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IF(_xlfn.XLOOKUP(C483,customers!$A$1:$A$1001,customers!$C$1:$C$1001,,0)=0,"Not _Provided",_xlfn.XLOOKUP(C483,customers!$A$1:$A$1001,customers!$C$1:$C$1001,,0))</f>
        <v>nizhakovdd@aol.com</v>
      </c>
      <c r="H483" s="2" t="str">
        <f>_xlfn.XLOOKUP(C483,customers!$A$1:$A$1001,customers!$G$1:$G$1001,,0)</f>
        <v>United Kingdom</v>
      </c>
      <c r="I483" t="str">
        <f>INDEX(products!$B$1:$B$49,MATCH($D483,products!$A$1:$A$49,0))</f>
        <v>Rob</v>
      </c>
      <c r="J483" t="str">
        <f>INDEX(products!$C$1:$C$49,MATCH($D483,products!$A$1:$A$49,0))</f>
        <v>L</v>
      </c>
      <c r="K483" s="4">
        <f>INDEX(products!$D$1:$D$49,MATCH($D483,products!$A$1:$A$49,0))</f>
        <v>1</v>
      </c>
      <c r="L483" s="5">
        <f>INDEX(products!$E$1:$E$49,MATCH($D483,products!$A$1:$A$49,0))</f>
        <v>11.95</v>
      </c>
      <c r="M483" s="5">
        <f t="shared" si="7"/>
        <v>23.9</v>
      </c>
      <c r="N483" t="str" cm="1">
        <f t="array" ref="N483">_xlfn.IFS(I483="Rob","Robusta",I483="Exc","Excelsa",I483="Ara","Arabica",I483="Lib","Liberica")</f>
        <v>Robusta</v>
      </c>
      <c r="O483" t="str" cm="1">
        <f t="array" ref="O483">_xlfn.SWITCH($J483,"M","Medium","L","Light","D","Dark")</f>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IF(_xlfn.XLOOKUP(C484,customers!$A$1:$A$1001,customers!$C$1:$C$1001,,0)=0,"Not _Provided",_xlfn.XLOOKUP(C484,customers!$A$1:$A$1001,customers!$C$1:$C$1001,,0))</f>
        <v>skeetsde@answers.com</v>
      </c>
      <c r="H484" s="2" t="str">
        <f>_xlfn.XLOOKUP(C484,customers!$A$1:$A$1001,customers!$G$1:$G$1001,,0)</f>
        <v>United States</v>
      </c>
      <c r="I484" t="str">
        <f>INDEX(products!$B$1:$B$49,MATCH($D484,products!$A$1:$A$49,0))</f>
        <v>Exc</v>
      </c>
      <c r="J484" t="str">
        <f>INDEX(products!$C$1:$C$49,MATCH($D484,products!$A$1:$A$49,0))</f>
        <v>D</v>
      </c>
      <c r="K484" s="4">
        <f>INDEX(products!$D$1:$D$49,MATCH($D484,products!$A$1:$A$49,0))</f>
        <v>2.5</v>
      </c>
      <c r="L484" s="5">
        <f>INDEX(products!$E$1:$E$49,MATCH($D484,products!$A$1:$A$49,0))</f>
        <v>27.945</v>
      </c>
      <c r="M484" s="5">
        <f t="shared" si="7"/>
        <v>139.72499999999999</v>
      </c>
      <c r="N484" t="str" cm="1">
        <f t="array" ref="N484">_xlfn.IFS(I484="Rob","Robusta",I484="Exc","Excelsa",I484="Ara","Arabica",I484="Lib","Liberica")</f>
        <v>Excelsa</v>
      </c>
      <c r="O484" t="str" cm="1">
        <f t="array" ref="O484">_xlfn.SWITCH($J484,"M","Medium","L","Light","D","Dark")</f>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IF(_xlfn.XLOOKUP(C485,customers!$A$1:$A$1001,customers!$C$1:$C$1001,,0)=0,"Not _Provided",_xlfn.XLOOKUP(C485,customers!$A$1:$A$1001,customers!$C$1:$C$1001,,0))</f>
        <v>Not _Provided</v>
      </c>
      <c r="H485" s="2" t="str">
        <f>_xlfn.XLOOKUP(C485,customers!$A$1:$A$1001,customers!$G$1:$G$1001,,0)</f>
        <v>United States</v>
      </c>
      <c r="I485" t="str">
        <f>INDEX(products!$B$1:$B$49,MATCH($D485,products!$A$1:$A$49,0))</f>
        <v>Lib</v>
      </c>
      <c r="J485" t="str">
        <f>INDEX(products!$C$1:$C$49,MATCH($D485,products!$A$1:$A$49,0))</f>
        <v>D</v>
      </c>
      <c r="K485" s="4">
        <f>INDEX(products!$D$1:$D$49,MATCH($D485,products!$A$1:$A$49,0))</f>
        <v>2.5</v>
      </c>
      <c r="L485" s="5">
        <f>INDEX(products!$E$1:$E$49,MATCH($D485,products!$A$1:$A$49,0))</f>
        <v>29.784999999999997</v>
      </c>
      <c r="M485" s="5">
        <f t="shared" si="7"/>
        <v>59.569999999999993</v>
      </c>
      <c r="N485" t="str" cm="1">
        <f t="array" ref="N485">_xlfn.IFS(I485="Rob","Robusta",I485="Exc","Excelsa",I485="Ara","Arabica",I485="Lib","Liberica")</f>
        <v>Liberica</v>
      </c>
      <c r="O485" t="str" cm="1">
        <f t="array" ref="O485">_xlfn.SWITCH($J485,"M","Medium","L","Light","D","Dark")</f>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IF(_xlfn.XLOOKUP(C486,customers!$A$1:$A$1001,customers!$C$1:$C$1001,,0)=0,"Not _Provided",_xlfn.XLOOKUP(C486,customers!$A$1:$A$1001,customers!$C$1:$C$1001,,0))</f>
        <v>kcakedg@huffingtonpost.com</v>
      </c>
      <c r="H486" s="2" t="str">
        <f>_xlfn.XLOOKUP(C486,customers!$A$1:$A$1001,customers!$G$1:$G$1001,,0)</f>
        <v>United States</v>
      </c>
      <c r="I486" t="str">
        <f>INDEX(products!$B$1:$B$49,MATCH($D486,products!$A$1:$A$49,0))</f>
        <v>Lib</v>
      </c>
      <c r="J486" t="str">
        <f>INDEX(products!$C$1:$C$49,MATCH($D486,products!$A$1:$A$49,0))</f>
        <v>L</v>
      </c>
      <c r="K486" s="4">
        <f>INDEX(products!$D$1:$D$49,MATCH($D486,products!$A$1:$A$49,0))</f>
        <v>0.5</v>
      </c>
      <c r="L486" s="5">
        <f>INDEX(products!$E$1:$E$49,MATCH($D486,products!$A$1:$A$49,0))</f>
        <v>9.51</v>
      </c>
      <c r="M486" s="5">
        <f t="shared" si="7"/>
        <v>57.06</v>
      </c>
      <c r="N486" t="str" cm="1">
        <f t="array" ref="N486">_xlfn.IFS(I486="Rob","Robusta",I486="Exc","Excelsa",I486="Ara","Arabica",I486="Lib","Liberica")</f>
        <v>Liberica</v>
      </c>
      <c r="O486" t="str" cm="1">
        <f t="array" ref="O486">_xlfn.SWITCH($J486,"M","Medium","L","Light","D","Dark")</f>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IF(_xlfn.XLOOKUP(C487,customers!$A$1:$A$1001,customers!$C$1:$C$1001,,0)=0,"Not _Provided",_xlfn.XLOOKUP(C487,customers!$A$1:$A$1001,customers!$C$1:$C$1001,,0))</f>
        <v>mhanseddh@instagram.com</v>
      </c>
      <c r="H487" s="2" t="str">
        <f>_xlfn.XLOOKUP(C487,customers!$A$1:$A$1001,customers!$G$1:$G$1001,,0)</f>
        <v>Ireland</v>
      </c>
      <c r="I487" t="str">
        <f>INDEX(products!$B$1:$B$49,MATCH($D487,products!$A$1:$A$49,0))</f>
        <v>Rob</v>
      </c>
      <c r="J487" t="str">
        <f>INDEX(products!$C$1:$C$49,MATCH($D487,products!$A$1:$A$49,0))</f>
        <v>L</v>
      </c>
      <c r="K487" s="4">
        <f>INDEX(products!$D$1:$D$49,MATCH($D487,products!$A$1:$A$49,0))</f>
        <v>0.2</v>
      </c>
      <c r="L487" s="5">
        <f>INDEX(products!$E$1:$E$49,MATCH($D487,products!$A$1:$A$49,0))</f>
        <v>3.5849999999999995</v>
      </c>
      <c r="M487" s="5">
        <f t="shared" si="7"/>
        <v>21.509999999999998</v>
      </c>
      <c r="N487" t="str" cm="1">
        <f t="array" ref="N487">_xlfn.IFS(I487="Rob","Robusta",I487="Exc","Excelsa",I487="Ara","Arabica",I487="Lib","Liberica")</f>
        <v>Robusta</v>
      </c>
      <c r="O487" t="str" cm="1">
        <f t="array" ref="O487">_xlfn.SWITCH($J487,"M","Medium","L","Light","D","Dark")</f>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IF(_xlfn.XLOOKUP(C488,customers!$A$1:$A$1001,customers!$C$1:$C$1001,,0)=0,"Not _Provided",_xlfn.XLOOKUP(C488,customers!$A$1:$A$1001,customers!$C$1:$C$1001,,0))</f>
        <v>fkienleindi@trellian.com</v>
      </c>
      <c r="H488" s="2" t="str">
        <f>_xlfn.XLOOKUP(C488,customers!$A$1:$A$1001,customers!$G$1:$G$1001,,0)</f>
        <v>Ireland</v>
      </c>
      <c r="I488" t="str">
        <f>INDEX(products!$B$1:$B$49,MATCH($D488,products!$A$1:$A$49,0))</f>
        <v>Lib</v>
      </c>
      <c r="J488" t="str">
        <f>INDEX(products!$C$1:$C$49,MATCH($D488,products!$A$1:$A$49,0))</f>
        <v>M</v>
      </c>
      <c r="K488" s="4">
        <f>INDEX(products!$D$1:$D$49,MATCH($D488,products!$A$1:$A$49,0))</f>
        <v>0.5</v>
      </c>
      <c r="L488" s="5">
        <f>INDEX(products!$E$1:$E$49,MATCH($D488,products!$A$1:$A$49,0))</f>
        <v>8.73</v>
      </c>
      <c r="M488" s="5">
        <f t="shared" si="7"/>
        <v>52.38</v>
      </c>
      <c r="N488" t="str" cm="1">
        <f t="array" ref="N488">_xlfn.IFS(I488="Rob","Robusta",I488="Exc","Excelsa",I488="Ara","Arabica",I488="Lib","Liberica")</f>
        <v>Liberica</v>
      </c>
      <c r="O488" t="str" cm="1">
        <f t="array" ref="O488">_xlfn.SWITCH($J488,"M","Medium","L","Light","D","Dark")</f>
        <v>Medium</v>
      </c>
      <c r="P488" t="str">
        <f>_xlfn.XLOOKUP(Table1[[#This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IF(_xlfn.XLOOKUP(C489,customers!$A$1:$A$1001,customers!$C$1:$C$1001,,0)=0,"Not _Provided",_xlfn.XLOOKUP(C489,customers!$A$1:$A$1001,customers!$C$1:$C$1001,,0))</f>
        <v>kegglestonedj@sphinn.com</v>
      </c>
      <c r="H489" s="2" t="str">
        <f>_xlfn.XLOOKUP(C489,customers!$A$1:$A$1001,customers!$G$1:$G$1001,,0)</f>
        <v>Ireland</v>
      </c>
      <c r="I489" t="str">
        <f>INDEX(products!$B$1:$B$49,MATCH($D489,products!$A$1:$A$49,0))</f>
        <v>Exc</v>
      </c>
      <c r="J489" t="str">
        <f>INDEX(products!$C$1:$C$49,MATCH($D489,products!$A$1:$A$49,0))</f>
        <v>D</v>
      </c>
      <c r="K489" s="4">
        <f>INDEX(products!$D$1:$D$49,MATCH($D489,products!$A$1:$A$49,0))</f>
        <v>1</v>
      </c>
      <c r="L489" s="5">
        <f>INDEX(products!$E$1:$E$49,MATCH($D489,products!$A$1:$A$49,0))</f>
        <v>12.15</v>
      </c>
      <c r="M489" s="5">
        <f t="shared" si="7"/>
        <v>72.900000000000006</v>
      </c>
      <c r="N489" t="str" cm="1">
        <f t="array" ref="N489">_xlfn.IFS(I489="Rob","Robusta",I489="Exc","Excelsa",I489="Ara","Arabica",I489="Lib","Liberica")</f>
        <v>Excelsa</v>
      </c>
      <c r="O489" t="str" cm="1">
        <f t="array" ref="O489">_xlfn.SWITCH($J489,"M","Medium","L","Light","D","Dark")</f>
        <v>Dark</v>
      </c>
      <c r="P489" t="str">
        <f>_xlfn.XLOOKUP(Table1[[#This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IF(_xlfn.XLOOKUP(C490,customers!$A$1:$A$1001,customers!$C$1:$C$1001,,0)=0,"Not _Provided",_xlfn.XLOOKUP(C490,customers!$A$1:$A$1001,customers!$C$1:$C$1001,,0))</f>
        <v>bsemkinsdk@unc.edu</v>
      </c>
      <c r="H490" s="2" t="str">
        <f>_xlfn.XLOOKUP(C490,customers!$A$1:$A$1001,customers!$G$1:$G$1001,,0)</f>
        <v>Ireland</v>
      </c>
      <c r="I490" t="str">
        <f>INDEX(products!$B$1:$B$49,MATCH($D490,products!$A$1:$A$49,0))</f>
        <v>Rob</v>
      </c>
      <c r="J490" t="str">
        <f>INDEX(products!$C$1:$C$49,MATCH($D490,products!$A$1:$A$49,0))</f>
        <v>M</v>
      </c>
      <c r="K490" s="4">
        <f>INDEX(products!$D$1:$D$49,MATCH($D490,products!$A$1:$A$49,0))</f>
        <v>0.2</v>
      </c>
      <c r="L490" s="5">
        <f>INDEX(products!$E$1:$E$49,MATCH($D490,products!$A$1:$A$49,0))</f>
        <v>2.9849999999999999</v>
      </c>
      <c r="M490" s="5">
        <f t="shared" si="7"/>
        <v>14.924999999999999</v>
      </c>
      <c r="N490" t="str" cm="1">
        <f t="array" ref="N490">_xlfn.IFS(I490="Rob","Robusta",I490="Exc","Excelsa",I490="Ara","Arabica",I490="Lib","Liberica")</f>
        <v>Robusta</v>
      </c>
      <c r="O490" t="str" cm="1">
        <f t="array" ref="O490">_xlfn.SWITCH($J490,"M","Medium","L","Light","D","Dark")</f>
        <v>Medium</v>
      </c>
      <c r="P490" t="str">
        <f>_xlfn.XLOOKUP(Table1[[#This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IF(_xlfn.XLOOKUP(C491,customers!$A$1:$A$1001,customers!$C$1:$C$1001,,0)=0,"Not _Provided",_xlfn.XLOOKUP(C491,customers!$A$1:$A$1001,customers!$C$1:$C$1001,,0))</f>
        <v>slorenzettidl@is.gd</v>
      </c>
      <c r="H491" s="2" t="str">
        <f>_xlfn.XLOOKUP(C491,customers!$A$1:$A$1001,customers!$G$1:$G$1001,,0)</f>
        <v>United States</v>
      </c>
      <c r="I491" t="str">
        <f>INDEX(products!$B$1:$B$49,MATCH($D491,products!$A$1:$A$49,0))</f>
        <v>Lib</v>
      </c>
      <c r="J491" t="str">
        <f>INDEX(products!$C$1:$C$49,MATCH($D491,products!$A$1:$A$49,0))</f>
        <v>L</v>
      </c>
      <c r="K491" s="4">
        <f>INDEX(products!$D$1:$D$49,MATCH($D491,products!$A$1:$A$49,0))</f>
        <v>1</v>
      </c>
      <c r="L491" s="5">
        <f>INDEX(products!$E$1:$E$49,MATCH($D491,products!$A$1:$A$49,0))</f>
        <v>15.85</v>
      </c>
      <c r="M491" s="5">
        <f t="shared" si="7"/>
        <v>95.1</v>
      </c>
      <c r="N491" t="str" cm="1">
        <f t="array" ref="N491">_xlfn.IFS(I491="Rob","Robusta",I491="Exc","Excelsa",I491="Ara","Arabica",I491="Lib","Liberica")</f>
        <v>Liberica</v>
      </c>
      <c r="O491" t="str" cm="1">
        <f t="array" ref="O491">_xlfn.SWITCH($J491,"M","Medium","L","Light","D","Dark")</f>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IF(_xlfn.XLOOKUP(C492,customers!$A$1:$A$1001,customers!$C$1:$C$1001,,0)=0,"Not _Provided",_xlfn.XLOOKUP(C492,customers!$A$1:$A$1001,customers!$C$1:$C$1001,,0))</f>
        <v>bgiannazzidm@apple.com</v>
      </c>
      <c r="H492" s="2" t="str">
        <f>_xlfn.XLOOKUP(C492,customers!$A$1:$A$1001,customers!$G$1:$G$1001,,0)</f>
        <v>United States</v>
      </c>
      <c r="I492" t="str">
        <f>INDEX(products!$B$1:$B$49,MATCH($D492,products!$A$1:$A$49,0))</f>
        <v>Lib</v>
      </c>
      <c r="J492" t="str">
        <f>INDEX(products!$C$1:$C$49,MATCH($D492,products!$A$1:$A$49,0))</f>
        <v>D</v>
      </c>
      <c r="K492" s="4">
        <f>INDEX(products!$D$1:$D$49,MATCH($D492,products!$A$1:$A$49,0))</f>
        <v>0.5</v>
      </c>
      <c r="L492" s="5">
        <f>INDEX(products!$E$1:$E$49,MATCH($D492,products!$A$1:$A$49,0))</f>
        <v>7.77</v>
      </c>
      <c r="M492" s="5">
        <f t="shared" si="7"/>
        <v>15.54</v>
      </c>
      <c r="N492" t="str" cm="1">
        <f t="array" ref="N492">_xlfn.IFS(I492="Rob","Robusta",I492="Exc","Excelsa",I492="Ara","Arabica",I492="Lib","Liberica")</f>
        <v>Liberica</v>
      </c>
      <c r="O492" t="str" cm="1">
        <f t="array" ref="O492">_xlfn.SWITCH($J492,"M","Medium","L","Light","D","Dark")</f>
        <v>Dark</v>
      </c>
      <c r="P492" t="str">
        <f>_xlfn.XLOOKUP(Table1[[#This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IF(_xlfn.XLOOKUP(C493,customers!$A$1:$A$1001,customers!$C$1:$C$1001,,0)=0,"Not _Provided",_xlfn.XLOOKUP(C493,customers!$A$1:$A$1001,customers!$C$1:$C$1001,,0))</f>
        <v>Not _Provided</v>
      </c>
      <c r="H493" s="2" t="str">
        <f>_xlfn.XLOOKUP(C493,customers!$A$1:$A$1001,customers!$G$1:$G$1001,,0)</f>
        <v>United States</v>
      </c>
      <c r="I493" t="str">
        <f>INDEX(products!$B$1:$B$49,MATCH($D493,products!$A$1:$A$49,0))</f>
        <v>Lib</v>
      </c>
      <c r="J493" t="str">
        <f>INDEX(products!$C$1:$C$49,MATCH($D493,products!$A$1:$A$49,0))</f>
        <v>D</v>
      </c>
      <c r="K493" s="4">
        <f>INDEX(products!$D$1:$D$49,MATCH($D493,products!$A$1:$A$49,0))</f>
        <v>0.2</v>
      </c>
      <c r="L493" s="5">
        <f>INDEX(products!$E$1:$E$49,MATCH($D493,products!$A$1:$A$49,0))</f>
        <v>3.8849999999999998</v>
      </c>
      <c r="M493" s="5">
        <f t="shared" si="7"/>
        <v>23.31</v>
      </c>
      <c r="N493" t="str" cm="1">
        <f t="array" ref="N493">_xlfn.IFS(I493="Rob","Robusta",I493="Exc","Excelsa",I493="Ara","Arabica",I493="Lib","Liberica")</f>
        <v>Liberica</v>
      </c>
      <c r="O493" t="str" cm="1">
        <f t="array" ref="O493">_xlfn.SWITCH($J493,"M","Medium","L","Light","D","Dark")</f>
        <v>Dark</v>
      </c>
      <c r="P493" t="str">
        <f>_xlfn.XLOOKUP(Table1[[#This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IF(_xlfn.XLOOKUP(C494,customers!$A$1:$A$1001,customers!$C$1:$C$1001,,0)=0,"Not _Provided",_xlfn.XLOOKUP(C494,customers!$A$1:$A$1001,customers!$C$1:$C$1001,,0))</f>
        <v>ulethbrigdo@hc360.com</v>
      </c>
      <c r="H494" s="2" t="str">
        <f>_xlfn.XLOOKUP(C494,customers!$A$1:$A$1001,customers!$G$1:$G$1001,,0)</f>
        <v>United States</v>
      </c>
      <c r="I494" t="str">
        <f>INDEX(products!$B$1:$B$49,MATCH($D494,products!$A$1:$A$49,0))</f>
        <v>Exc</v>
      </c>
      <c r="J494" t="str">
        <f>INDEX(products!$C$1:$C$49,MATCH($D494,products!$A$1:$A$49,0))</f>
        <v>M</v>
      </c>
      <c r="K494" s="4">
        <f>INDEX(products!$D$1:$D$49,MATCH($D494,products!$A$1:$A$49,0))</f>
        <v>0.2</v>
      </c>
      <c r="L494" s="5">
        <f>INDEX(products!$E$1:$E$49,MATCH($D494,products!$A$1:$A$49,0))</f>
        <v>4.125</v>
      </c>
      <c r="M494" s="5">
        <f t="shared" si="7"/>
        <v>4.125</v>
      </c>
      <c r="N494" t="str" cm="1">
        <f t="array" ref="N494">_xlfn.IFS(I494="Rob","Robusta",I494="Exc","Excelsa",I494="Ara","Arabica",I494="Lib","Liberica")</f>
        <v>Excelsa</v>
      </c>
      <c r="O494" t="str" cm="1">
        <f t="array" ref="O494">_xlfn.SWITCH($J494,"M","Medium","L","Light","D","Dark")</f>
        <v>Medium</v>
      </c>
      <c r="P494" t="str">
        <f>_xlfn.XLOOKUP(Table1[[#This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IF(_xlfn.XLOOKUP(C495,customers!$A$1:$A$1001,customers!$C$1:$C$1001,,0)=0,"Not _Provided",_xlfn.XLOOKUP(C495,customers!$A$1:$A$1001,customers!$C$1:$C$1001,,0))</f>
        <v>sfarnishdp@dmoz.org</v>
      </c>
      <c r="H495" s="2" t="str">
        <f>_xlfn.XLOOKUP(C495,customers!$A$1:$A$1001,customers!$G$1:$G$1001,,0)</f>
        <v>United Kingdom</v>
      </c>
      <c r="I495" t="str">
        <f>INDEX(products!$B$1:$B$49,MATCH($D495,products!$A$1:$A$49,0))</f>
        <v>Rob</v>
      </c>
      <c r="J495" t="str">
        <f>INDEX(products!$C$1:$C$49,MATCH($D495,products!$A$1:$A$49,0))</f>
        <v>M</v>
      </c>
      <c r="K495" s="4">
        <f>INDEX(products!$D$1:$D$49,MATCH($D495,products!$A$1:$A$49,0))</f>
        <v>0.5</v>
      </c>
      <c r="L495" s="5">
        <f>INDEX(products!$E$1:$E$49,MATCH($D495,products!$A$1:$A$49,0))</f>
        <v>5.97</v>
      </c>
      <c r="M495" s="5">
        <f t="shared" si="7"/>
        <v>35.82</v>
      </c>
      <c r="N495" t="str" cm="1">
        <f t="array" ref="N495">_xlfn.IFS(I495="Rob","Robusta",I495="Exc","Excelsa",I495="Ara","Arabica",I495="Lib","Liberica")</f>
        <v>Robusta</v>
      </c>
      <c r="O495" t="str" cm="1">
        <f t="array" ref="O495">_xlfn.SWITCH($J495,"M","Medium","L","Light","D","Dark")</f>
        <v>Medium</v>
      </c>
      <c r="P495" t="str">
        <f>_xlfn.XLOOKUP(Table1[[#This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IF(_xlfn.XLOOKUP(C496,customers!$A$1:$A$1001,customers!$C$1:$C$1001,,0)=0,"Not _Provided",_xlfn.XLOOKUP(C496,customers!$A$1:$A$1001,customers!$C$1:$C$1001,,0))</f>
        <v>fjecockdq@unicef.org</v>
      </c>
      <c r="H496" s="2" t="str">
        <f>_xlfn.XLOOKUP(C496,customers!$A$1:$A$1001,customers!$G$1:$G$1001,,0)</f>
        <v>United States</v>
      </c>
      <c r="I496" t="str">
        <f>INDEX(products!$B$1:$B$49,MATCH($D496,products!$A$1:$A$49,0))</f>
        <v>Lib</v>
      </c>
      <c r="J496" t="str">
        <f>INDEX(products!$C$1:$C$49,MATCH($D496,products!$A$1:$A$49,0))</f>
        <v>L</v>
      </c>
      <c r="K496" s="4">
        <f>INDEX(products!$D$1:$D$49,MATCH($D496,products!$A$1:$A$49,0))</f>
        <v>1</v>
      </c>
      <c r="L496" s="5">
        <f>INDEX(products!$E$1:$E$49,MATCH($D496,products!$A$1:$A$49,0))</f>
        <v>15.85</v>
      </c>
      <c r="M496" s="5">
        <f t="shared" si="7"/>
        <v>31.7</v>
      </c>
      <c r="N496" t="str" cm="1">
        <f t="array" ref="N496">_xlfn.IFS(I496="Rob","Robusta",I496="Exc","Excelsa",I496="Ara","Arabica",I496="Lib","Liberica")</f>
        <v>Liberica</v>
      </c>
      <c r="O496" t="str" cm="1">
        <f t="array" ref="O496">_xlfn.SWITCH($J496,"M","Medium","L","Light","D","Dark")</f>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IF(_xlfn.XLOOKUP(C497,customers!$A$1:$A$1001,customers!$C$1:$C$1001,,0)=0,"Not _Provided",_xlfn.XLOOKUP(C497,customers!$A$1:$A$1001,customers!$C$1:$C$1001,,0))</f>
        <v>Not _Provided</v>
      </c>
      <c r="H497" s="2" t="str">
        <f>_xlfn.XLOOKUP(C497,customers!$A$1:$A$1001,customers!$G$1:$G$1001,,0)</f>
        <v>United States</v>
      </c>
      <c r="I497" t="str">
        <f>INDEX(products!$B$1:$B$49,MATCH($D497,products!$A$1:$A$49,0))</f>
        <v>Lib</v>
      </c>
      <c r="J497" t="str">
        <f>INDEX(products!$C$1:$C$49,MATCH($D497,products!$A$1:$A$49,0))</f>
        <v>L</v>
      </c>
      <c r="K497" s="4">
        <f>INDEX(products!$D$1:$D$49,MATCH($D497,products!$A$1:$A$49,0))</f>
        <v>1</v>
      </c>
      <c r="L497" s="5">
        <f>INDEX(products!$E$1:$E$49,MATCH($D497,products!$A$1:$A$49,0))</f>
        <v>15.85</v>
      </c>
      <c r="M497" s="5">
        <f t="shared" si="7"/>
        <v>79.25</v>
      </c>
      <c r="N497" t="str" cm="1">
        <f t="array" ref="N497">_xlfn.IFS(I497="Rob","Robusta",I497="Exc","Excelsa",I497="Ara","Arabica",I497="Lib","Liberica")</f>
        <v>Liberica</v>
      </c>
      <c r="O497" t="str" cm="1">
        <f t="array" ref="O497">_xlfn.SWITCH($J497,"M","Medium","L","Light","D","Dark")</f>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IF(_xlfn.XLOOKUP(C498,customers!$A$1:$A$1001,customers!$C$1:$C$1001,,0)=0,"Not _Provided",_xlfn.XLOOKUP(C498,customers!$A$1:$A$1001,customers!$C$1:$C$1001,,0))</f>
        <v>hpallisterds@ning.com</v>
      </c>
      <c r="H498" s="2" t="str">
        <f>_xlfn.XLOOKUP(C498,customers!$A$1:$A$1001,customers!$G$1:$G$1001,,0)</f>
        <v>United States</v>
      </c>
      <c r="I498" t="str">
        <f>INDEX(products!$B$1:$B$49,MATCH($D498,products!$A$1:$A$49,0))</f>
        <v>Exc</v>
      </c>
      <c r="J498" t="str">
        <f>INDEX(products!$C$1:$C$49,MATCH($D498,products!$A$1:$A$49,0))</f>
        <v>D</v>
      </c>
      <c r="K498" s="4">
        <f>INDEX(products!$D$1:$D$49,MATCH($D498,products!$A$1:$A$49,0))</f>
        <v>0.2</v>
      </c>
      <c r="L498" s="5">
        <f>INDEX(products!$E$1:$E$49,MATCH($D498,products!$A$1:$A$49,0))</f>
        <v>3.645</v>
      </c>
      <c r="M498" s="5">
        <f t="shared" si="7"/>
        <v>10.935</v>
      </c>
      <c r="N498" t="str" cm="1">
        <f t="array" ref="N498">_xlfn.IFS(I498="Rob","Robusta",I498="Exc","Excelsa",I498="Ara","Arabica",I498="Lib","Liberica")</f>
        <v>Excelsa</v>
      </c>
      <c r="O498" t="str" cm="1">
        <f t="array" ref="O498">_xlfn.SWITCH($J498,"M","Medium","L","Light","D","Dark")</f>
        <v>Dark</v>
      </c>
      <c r="P498" t="str">
        <f>_xlfn.XLOOKUP(Table1[[#This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IF(_xlfn.XLOOKUP(C499,customers!$A$1:$A$1001,customers!$C$1:$C$1001,,0)=0,"Not _Provided",_xlfn.XLOOKUP(C499,customers!$A$1:$A$1001,customers!$C$1:$C$1001,,0))</f>
        <v>cmershdt@drupal.org</v>
      </c>
      <c r="H499" s="2" t="str">
        <f>_xlfn.XLOOKUP(C499,customers!$A$1:$A$1001,customers!$G$1:$G$1001,,0)</f>
        <v>Ireland</v>
      </c>
      <c r="I499" t="str">
        <f>INDEX(products!$B$1:$B$49,MATCH($D499,products!$A$1:$A$49,0))</f>
        <v>Ara</v>
      </c>
      <c r="J499" t="str">
        <f>INDEX(products!$C$1:$C$49,MATCH($D499,products!$A$1:$A$49,0))</f>
        <v>D</v>
      </c>
      <c r="K499" s="4">
        <f>INDEX(products!$D$1:$D$49,MATCH($D499,products!$A$1:$A$49,0))</f>
        <v>1</v>
      </c>
      <c r="L499" s="5">
        <f>INDEX(products!$E$1:$E$49,MATCH($D499,products!$A$1:$A$49,0))</f>
        <v>9.9499999999999993</v>
      </c>
      <c r="M499" s="5">
        <f t="shared" si="7"/>
        <v>39.799999999999997</v>
      </c>
      <c r="N499" t="str" cm="1">
        <f t="array" ref="N499">_xlfn.IFS(I499="Rob","Robusta",I499="Exc","Excelsa",I499="Ara","Arabica",I499="Lib","Liberica")</f>
        <v>Arabica</v>
      </c>
      <c r="O499" t="str" cm="1">
        <f t="array" ref="O499">_xlfn.SWITCH($J499,"M","Medium","L","Light","D","Dark")</f>
        <v>Dark</v>
      </c>
      <c r="P499" t="str">
        <f>_xlfn.XLOOKUP(Table1[[#This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IF(_xlfn.XLOOKUP(C500,customers!$A$1:$A$1001,customers!$C$1:$C$1001,,0)=0,"Not _Provided",_xlfn.XLOOKUP(C500,customers!$A$1:$A$1001,customers!$C$1:$C$1001,,0))</f>
        <v>murione5@alexa.com</v>
      </c>
      <c r="H500" s="2" t="str">
        <f>_xlfn.XLOOKUP(C500,customers!$A$1:$A$1001,customers!$G$1:$G$1001,,0)</f>
        <v>Ireland</v>
      </c>
      <c r="I500" t="str">
        <f>INDEX(products!$B$1:$B$49,MATCH($D500,products!$A$1:$A$49,0))</f>
        <v>Rob</v>
      </c>
      <c r="J500" t="str">
        <f>INDEX(products!$C$1:$C$49,MATCH($D500,products!$A$1:$A$49,0))</f>
        <v>M</v>
      </c>
      <c r="K500" s="4">
        <f>INDEX(products!$D$1:$D$49,MATCH($D500,products!$A$1:$A$49,0))</f>
        <v>1</v>
      </c>
      <c r="L500" s="5">
        <f>INDEX(products!$E$1:$E$49,MATCH($D500,products!$A$1:$A$49,0))</f>
        <v>9.9499999999999993</v>
      </c>
      <c r="M500" s="5">
        <f t="shared" si="7"/>
        <v>49.75</v>
      </c>
      <c r="N500" t="str" cm="1">
        <f t="array" ref="N500">_xlfn.IFS(I500="Rob","Robusta",I500="Exc","Excelsa",I500="Ara","Arabica",I500="Lib","Liberica")</f>
        <v>Robusta</v>
      </c>
      <c r="O500" t="str" cm="1">
        <f t="array" ref="O500">_xlfn.SWITCH($J500,"M","Medium","L","Light","D","Dark")</f>
        <v>Medium</v>
      </c>
      <c r="P500" t="str">
        <f>_xlfn.XLOOKUP(Table1[[#This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IF(_xlfn.XLOOKUP(C501,customers!$A$1:$A$1001,customers!$C$1:$C$1001,,0)=0,"Not _Provided",_xlfn.XLOOKUP(C501,customers!$A$1:$A$1001,customers!$C$1:$C$1001,,0))</f>
        <v>Not _Provided</v>
      </c>
      <c r="H501" s="2" t="str">
        <f>_xlfn.XLOOKUP(C501,customers!$A$1:$A$1001,customers!$G$1:$G$1001,,0)</f>
        <v>Ireland</v>
      </c>
      <c r="I501" t="str">
        <f>INDEX(products!$B$1:$B$49,MATCH($D501,products!$A$1:$A$49,0))</f>
        <v>Rob</v>
      </c>
      <c r="J501" t="str">
        <f>INDEX(products!$C$1:$C$49,MATCH($D501,products!$A$1:$A$49,0))</f>
        <v>D</v>
      </c>
      <c r="K501" s="4">
        <f>INDEX(products!$D$1:$D$49,MATCH($D501,products!$A$1:$A$49,0))</f>
        <v>0.2</v>
      </c>
      <c r="L501" s="5">
        <f>INDEX(products!$E$1:$E$49,MATCH($D501,products!$A$1:$A$49,0))</f>
        <v>2.6849999999999996</v>
      </c>
      <c r="M501" s="5">
        <f t="shared" si="7"/>
        <v>8.0549999999999997</v>
      </c>
      <c r="N501" t="str" cm="1">
        <f t="array" ref="N501">_xlfn.IFS(I501="Rob","Robusta",I501="Exc","Excelsa",I501="Ara","Arabica",I501="Lib","Liberica")</f>
        <v>Robusta</v>
      </c>
      <c r="O501" t="str" cm="1">
        <f t="array" ref="O501">_xlfn.SWITCH($J501,"M","Medium","L","Light","D","Dark")</f>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IF(_xlfn.XLOOKUP(C502,customers!$A$1:$A$1001,customers!$C$1:$C$1001,,0)=0,"Not _Provided",_xlfn.XLOOKUP(C502,customers!$A$1:$A$1001,customers!$C$1:$C$1001,,0))</f>
        <v>Not _Provided</v>
      </c>
      <c r="H502" s="2" t="str">
        <f>_xlfn.XLOOKUP(C502,customers!$A$1:$A$1001,customers!$G$1:$G$1001,,0)</f>
        <v>United States</v>
      </c>
      <c r="I502" t="str">
        <f>INDEX(products!$B$1:$B$49,MATCH($D502,products!$A$1:$A$49,0))</f>
        <v>Rob</v>
      </c>
      <c r="J502" t="str">
        <f>INDEX(products!$C$1:$C$49,MATCH($D502,products!$A$1:$A$49,0))</f>
        <v>L</v>
      </c>
      <c r="K502" s="4">
        <f>INDEX(products!$D$1:$D$49,MATCH($D502,products!$A$1:$A$49,0))</f>
        <v>1</v>
      </c>
      <c r="L502" s="5">
        <f>INDEX(products!$E$1:$E$49,MATCH($D502,products!$A$1:$A$49,0))</f>
        <v>11.95</v>
      </c>
      <c r="M502" s="5">
        <f t="shared" si="7"/>
        <v>47.8</v>
      </c>
      <c r="N502" t="str" cm="1">
        <f t="array" ref="N502">_xlfn.IFS(I502="Rob","Robusta",I502="Exc","Excelsa",I502="Ara","Arabica",I502="Lib","Liberica")</f>
        <v>Robusta</v>
      </c>
      <c r="O502" t="str" cm="1">
        <f t="array" ref="O502">_xlfn.SWITCH($J502,"M","Medium","L","Light","D","Dark")</f>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IF(_xlfn.XLOOKUP(C503,customers!$A$1:$A$1001,customers!$C$1:$C$1001,,0)=0,"Not _Provided",_xlfn.XLOOKUP(C503,customers!$A$1:$A$1001,customers!$C$1:$C$1001,,0))</f>
        <v>gduckerdx@patch.com</v>
      </c>
      <c r="H503" s="2" t="str">
        <f>_xlfn.XLOOKUP(C503,customers!$A$1:$A$1001,customers!$G$1:$G$1001,,0)</f>
        <v>United Kingdom</v>
      </c>
      <c r="I503" t="str">
        <f>INDEX(products!$B$1:$B$49,MATCH($D503,products!$A$1:$A$49,0))</f>
        <v>Rob</v>
      </c>
      <c r="J503" t="str">
        <f>INDEX(products!$C$1:$C$49,MATCH($D503,products!$A$1:$A$49,0))</f>
        <v>M</v>
      </c>
      <c r="K503" s="4">
        <f>INDEX(products!$D$1:$D$49,MATCH($D503,products!$A$1:$A$49,0))</f>
        <v>0.2</v>
      </c>
      <c r="L503" s="5">
        <f>INDEX(products!$E$1:$E$49,MATCH($D503,products!$A$1:$A$49,0))</f>
        <v>2.9849999999999999</v>
      </c>
      <c r="M503" s="5">
        <f t="shared" si="7"/>
        <v>11.94</v>
      </c>
      <c r="N503" t="str" cm="1">
        <f t="array" ref="N503">_xlfn.IFS(I503="Rob","Robusta",I503="Exc","Excelsa",I503="Ara","Arabica",I503="Lib","Liberica")</f>
        <v>Robusta</v>
      </c>
      <c r="O503" t="str" cm="1">
        <f t="array" ref="O503">_xlfn.SWITCH($J503,"M","Medium","L","Light","D","Dark")</f>
        <v>Medium</v>
      </c>
      <c r="P503" t="str">
        <f>_xlfn.XLOOKUP(Table1[[#This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IF(_xlfn.XLOOKUP(C504,customers!$A$1:$A$1001,customers!$C$1:$C$1001,,0)=0,"Not _Provided",_xlfn.XLOOKUP(C504,customers!$A$1:$A$1001,customers!$C$1:$C$1001,,0))</f>
        <v>gduckerdx@patch.com</v>
      </c>
      <c r="H504" s="2" t="str">
        <f>_xlfn.XLOOKUP(C504,customers!$A$1:$A$1001,customers!$G$1:$G$1001,,0)</f>
        <v>United Kingdom</v>
      </c>
      <c r="I504" t="str">
        <f>INDEX(products!$B$1:$B$49,MATCH($D504,products!$A$1:$A$49,0))</f>
        <v>Exc</v>
      </c>
      <c r="J504" t="str">
        <f>INDEX(products!$C$1:$C$49,MATCH($D504,products!$A$1:$A$49,0))</f>
        <v>M</v>
      </c>
      <c r="K504" s="4">
        <f>INDEX(products!$D$1:$D$49,MATCH($D504,products!$A$1:$A$49,0))</f>
        <v>0.2</v>
      </c>
      <c r="L504" s="5">
        <f>INDEX(products!$E$1:$E$49,MATCH($D504,products!$A$1:$A$49,0))</f>
        <v>4.125</v>
      </c>
      <c r="M504" s="5">
        <f t="shared" si="7"/>
        <v>16.5</v>
      </c>
      <c r="N504" t="str" cm="1">
        <f t="array" ref="N504">_xlfn.IFS(I504="Rob","Robusta",I504="Exc","Excelsa",I504="Ara","Arabica",I504="Lib","Liberica")</f>
        <v>Excelsa</v>
      </c>
      <c r="O504" t="str" cm="1">
        <f t="array" ref="O504">_xlfn.SWITCH($J504,"M","Medium","L","Light","D","Dark")</f>
        <v>Medium</v>
      </c>
      <c r="P504" t="str">
        <f>_xlfn.XLOOKUP(Table1[[#This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IF(_xlfn.XLOOKUP(C505,customers!$A$1:$A$1001,customers!$C$1:$C$1001,,0)=0,"Not _Provided",_xlfn.XLOOKUP(C505,customers!$A$1:$A$1001,customers!$C$1:$C$1001,,0))</f>
        <v>gduckerdx@patch.com</v>
      </c>
      <c r="H505" s="2" t="str">
        <f>_xlfn.XLOOKUP(C505,customers!$A$1:$A$1001,customers!$G$1:$G$1001,,0)</f>
        <v>United Kingdom</v>
      </c>
      <c r="I505" t="str">
        <f>INDEX(products!$B$1:$B$49,MATCH($D505,products!$A$1:$A$49,0))</f>
        <v>Lib</v>
      </c>
      <c r="J505" t="str">
        <f>INDEX(products!$C$1:$C$49,MATCH($D505,products!$A$1:$A$49,0))</f>
        <v>D</v>
      </c>
      <c r="K505" s="4">
        <f>INDEX(products!$D$1:$D$49,MATCH($D505,products!$A$1:$A$49,0))</f>
        <v>1</v>
      </c>
      <c r="L505" s="5">
        <f>INDEX(products!$E$1:$E$49,MATCH($D505,products!$A$1:$A$49,0))</f>
        <v>12.95</v>
      </c>
      <c r="M505" s="5">
        <f t="shared" si="7"/>
        <v>51.8</v>
      </c>
      <c r="N505" t="str" cm="1">
        <f t="array" ref="N505">_xlfn.IFS(I505="Rob","Robusta",I505="Exc","Excelsa",I505="Ara","Arabica",I505="Lib","Liberica")</f>
        <v>Liberica</v>
      </c>
      <c r="O505" t="str" cm="1">
        <f t="array" ref="O505">_xlfn.SWITCH($J505,"M","Medium","L","Light","D","Dark")</f>
        <v>Dark</v>
      </c>
      <c r="P505" t="str">
        <f>_xlfn.XLOOKUP(Table1[[#This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IF(_xlfn.XLOOKUP(C506,customers!$A$1:$A$1001,customers!$C$1:$C$1001,,0)=0,"Not _Provided",_xlfn.XLOOKUP(C506,customers!$A$1:$A$1001,customers!$C$1:$C$1001,,0))</f>
        <v>gduckerdx@patch.com</v>
      </c>
      <c r="H506" s="2" t="str">
        <f>_xlfn.XLOOKUP(C506,customers!$A$1:$A$1001,customers!$G$1:$G$1001,,0)</f>
        <v>United Kingdom</v>
      </c>
      <c r="I506" t="str">
        <f>INDEX(products!$B$1:$B$49,MATCH($D506,products!$A$1:$A$49,0))</f>
        <v>Lib</v>
      </c>
      <c r="J506" t="str">
        <f>INDEX(products!$C$1:$C$49,MATCH($D506,products!$A$1:$A$49,0))</f>
        <v>L</v>
      </c>
      <c r="K506" s="4">
        <f>INDEX(products!$D$1:$D$49,MATCH($D506,products!$A$1:$A$49,0))</f>
        <v>0.2</v>
      </c>
      <c r="L506" s="5">
        <f>INDEX(products!$E$1:$E$49,MATCH($D506,products!$A$1:$A$49,0))</f>
        <v>4.7549999999999999</v>
      </c>
      <c r="M506" s="5">
        <f t="shared" si="7"/>
        <v>14.265000000000001</v>
      </c>
      <c r="N506" t="str" cm="1">
        <f t="array" ref="N506">_xlfn.IFS(I506="Rob","Robusta",I506="Exc","Excelsa",I506="Ara","Arabica",I506="Lib","Liberica")</f>
        <v>Liberica</v>
      </c>
      <c r="O506" t="str" cm="1">
        <f t="array" ref="O506">_xlfn.SWITCH($J506,"M","Medium","L","Light","D","Dark")</f>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IF(_xlfn.XLOOKUP(C507,customers!$A$1:$A$1001,customers!$C$1:$C$1001,,0)=0,"Not _Provided",_xlfn.XLOOKUP(C507,customers!$A$1:$A$1001,customers!$C$1:$C$1001,,0))</f>
        <v>wstearleye1@census.gov</v>
      </c>
      <c r="H507" s="2" t="str">
        <f>_xlfn.XLOOKUP(C507,customers!$A$1:$A$1001,customers!$G$1:$G$1001,,0)</f>
        <v>United States</v>
      </c>
      <c r="I507" t="str">
        <f>INDEX(products!$B$1:$B$49,MATCH($D507,products!$A$1:$A$49,0))</f>
        <v>Lib</v>
      </c>
      <c r="J507" t="str">
        <f>INDEX(products!$C$1:$C$49,MATCH($D507,products!$A$1:$A$49,0))</f>
        <v>M</v>
      </c>
      <c r="K507" s="4">
        <f>INDEX(products!$D$1:$D$49,MATCH($D507,products!$A$1:$A$49,0))</f>
        <v>0.2</v>
      </c>
      <c r="L507" s="5">
        <f>INDEX(products!$E$1:$E$49,MATCH($D507,products!$A$1:$A$49,0))</f>
        <v>4.3650000000000002</v>
      </c>
      <c r="M507" s="5">
        <f t="shared" si="7"/>
        <v>26.19</v>
      </c>
      <c r="N507" t="str" cm="1">
        <f t="array" ref="N507">_xlfn.IFS(I507="Rob","Robusta",I507="Exc","Excelsa",I507="Ara","Arabica",I507="Lib","Liberica")</f>
        <v>Liberica</v>
      </c>
      <c r="O507" t="str" cm="1">
        <f t="array" ref="O507">_xlfn.SWITCH($J507,"M","Medium","L","Light","D","Dark")</f>
        <v>Medium</v>
      </c>
      <c r="P507" t="str">
        <f>_xlfn.XLOOKUP(Table1[[#This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IF(_xlfn.XLOOKUP(C508,customers!$A$1:$A$1001,customers!$C$1:$C$1001,,0)=0,"Not _Provided",_xlfn.XLOOKUP(C508,customers!$A$1:$A$1001,customers!$C$1:$C$1001,,0))</f>
        <v>dwincere2@marriott.com</v>
      </c>
      <c r="H508" s="2" t="str">
        <f>_xlfn.XLOOKUP(C508,customers!$A$1:$A$1001,customers!$G$1:$G$1001,,0)</f>
        <v>United States</v>
      </c>
      <c r="I508" t="str">
        <f>INDEX(products!$B$1:$B$49,MATCH($D508,products!$A$1:$A$49,0))</f>
        <v>Ara</v>
      </c>
      <c r="J508" t="str">
        <f>INDEX(products!$C$1:$C$49,MATCH($D508,products!$A$1:$A$49,0))</f>
        <v>L</v>
      </c>
      <c r="K508" s="4">
        <f>INDEX(products!$D$1:$D$49,MATCH($D508,products!$A$1:$A$49,0))</f>
        <v>1</v>
      </c>
      <c r="L508" s="5">
        <f>INDEX(products!$E$1:$E$49,MATCH($D508,products!$A$1:$A$49,0))</f>
        <v>12.95</v>
      </c>
      <c r="M508" s="5">
        <f t="shared" si="7"/>
        <v>25.9</v>
      </c>
      <c r="N508" t="str" cm="1">
        <f t="array" ref="N508">_xlfn.IFS(I508="Rob","Robusta",I508="Exc","Excelsa",I508="Ara","Arabica",I508="Lib","Liberica")</f>
        <v>Arabica</v>
      </c>
      <c r="O508" t="str" cm="1">
        <f t="array" ref="O508">_xlfn.SWITCH($J508,"M","Medium","L","Light","D","Dark")</f>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IF(_xlfn.XLOOKUP(C509,customers!$A$1:$A$1001,customers!$C$1:$C$1001,,0)=0,"Not _Provided",_xlfn.XLOOKUP(C509,customers!$A$1:$A$1001,customers!$C$1:$C$1001,,0))</f>
        <v>plyfielde3@baidu.com</v>
      </c>
      <c r="H509" s="2" t="str">
        <f>_xlfn.XLOOKUP(C509,customers!$A$1:$A$1001,customers!$G$1:$G$1001,,0)</f>
        <v>United States</v>
      </c>
      <c r="I509" t="str">
        <f>INDEX(products!$B$1:$B$49,MATCH($D509,products!$A$1:$A$49,0))</f>
        <v>Ara</v>
      </c>
      <c r="J509" t="str">
        <f>INDEX(products!$C$1:$C$49,MATCH($D509,products!$A$1:$A$49,0))</f>
        <v>L</v>
      </c>
      <c r="K509" s="4">
        <f>INDEX(products!$D$1:$D$49,MATCH($D509,products!$A$1:$A$49,0))</f>
        <v>2.5</v>
      </c>
      <c r="L509" s="5">
        <f>INDEX(products!$E$1:$E$49,MATCH($D509,products!$A$1:$A$49,0))</f>
        <v>29.784999999999997</v>
      </c>
      <c r="M509" s="5">
        <f t="shared" si="7"/>
        <v>89.35499999999999</v>
      </c>
      <c r="N509" t="str" cm="1">
        <f t="array" ref="N509">_xlfn.IFS(I509="Rob","Robusta",I509="Exc","Excelsa",I509="Ara","Arabica",I509="Lib","Liberica")</f>
        <v>Arabica</v>
      </c>
      <c r="O509" t="str" cm="1">
        <f t="array" ref="O509">_xlfn.SWITCH($J509,"M","Medium","L","Light","D","Dark")</f>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IF(_xlfn.XLOOKUP(C510,customers!$A$1:$A$1001,customers!$C$1:$C$1001,,0)=0,"Not _Provided",_xlfn.XLOOKUP(C510,customers!$A$1:$A$1001,customers!$C$1:$C$1001,,0))</f>
        <v>hperrise4@studiopress.com</v>
      </c>
      <c r="H510" s="2" t="str">
        <f>_xlfn.XLOOKUP(C510,customers!$A$1:$A$1001,customers!$G$1:$G$1001,,0)</f>
        <v>Ireland</v>
      </c>
      <c r="I510" t="str">
        <f>INDEX(products!$B$1:$B$49,MATCH($D510,products!$A$1:$A$49,0))</f>
        <v>Lib</v>
      </c>
      <c r="J510" t="str">
        <f>INDEX(products!$C$1:$C$49,MATCH($D510,products!$A$1:$A$49,0))</f>
        <v>D</v>
      </c>
      <c r="K510" s="4">
        <f>INDEX(products!$D$1:$D$49,MATCH($D510,products!$A$1:$A$49,0))</f>
        <v>0.5</v>
      </c>
      <c r="L510" s="5">
        <f>INDEX(products!$E$1:$E$49,MATCH($D510,products!$A$1:$A$49,0))</f>
        <v>7.77</v>
      </c>
      <c r="M510" s="5">
        <f t="shared" si="7"/>
        <v>46.62</v>
      </c>
      <c r="N510" t="str" cm="1">
        <f t="array" ref="N510">_xlfn.IFS(I510="Rob","Robusta",I510="Exc","Excelsa",I510="Ara","Arabica",I510="Lib","Liberica")</f>
        <v>Liberica</v>
      </c>
      <c r="O510" t="str" cm="1">
        <f t="array" ref="O510">_xlfn.SWITCH($J510,"M","Medium","L","Light","D","Dark")</f>
        <v>Dark</v>
      </c>
      <c r="P510" t="str">
        <f>_xlfn.XLOOKUP(Table1[[#This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IF(_xlfn.XLOOKUP(C511,customers!$A$1:$A$1001,customers!$C$1:$C$1001,,0)=0,"Not _Provided",_xlfn.XLOOKUP(C511,customers!$A$1:$A$1001,customers!$C$1:$C$1001,,0))</f>
        <v>murione5@alexa.com</v>
      </c>
      <c r="H511" s="2" t="str">
        <f>_xlfn.XLOOKUP(C511,customers!$A$1:$A$1001,customers!$G$1:$G$1001,,0)</f>
        <v>Ireland</v>
      </c>
      <c r="I511" t="str">
        <f>INDEX(products!$B$1:$B$49,MATCH($D511,products!$A$1:$A$49,0))</f>
        <v>Ara</v>
      </c>
      <c r="J511" t="str">
        <f>INDEX(products!$C$1:$C$49,MATCH($D511,products!$A$1:$A$49,0))</f>
        <v>D</v>
      </c>
      <c r="K511" s="4">
        <f>INDEX(products!$D$1:$D$49,MATCH($D511,products!$A$1:$A$49,0))</f>
        <v>1</v>
      </c>
      <c r="L511" s="5">
        <f>INDEX(products!$E$1:$E$49,MATCH($D511,products!$A$1:$A$49,0))</f>
        <v>9.9499999999999993</v>
      </c>
      <c r="M511" s="5">
        <f t="shared" si="7"/>
        <v>29.849999999999998</v>
      </c>
      <c r="N511" t="str" cm="1">
        <f t="array" ref="N511">_xlfn.IFS(I511="Rob","Robusta",I511="Exc","Excelsa",I511="Ara","Arabica",I511="Lib","Liberica")</f>
        <v>Arabica</v>
      </c>
      <c r="O511" t="str" cm="1">
        <f t="array" ref="O511">_xlfn.SWITCH($J511,"M","Medium","L","Light","D","Dark")</f>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IF(_xlfn.XLOOKUP(C512,customers!$A$1:$A$1001,customers!$C$1:$C$1001,,0)=0,"Not _Provided",_xlfn.XLOOKUP(C512,customers!$A$1:$A$1001,customers!$C$1:$C$1001,,0))</f>
        <v>ckide6@narod.ru</v>
      </c>
      <c r="H512" s="2" t="str">
        <f>_xlfn.XLOOKUP(C512,customers!$A$1:$A$1001,customers!$G$1:$G$1001,,0)</f>
        <v>Ireland</v>
      </c>
      <c r="I512" t="str">
        <f>INDEX(products!$B$1:$B$49,MATCH($D512,products!$A$1:$A$49,0))</f>
        <v>Rob</v>
      </c>
      <c r="J512" t="str">
        <f>INDEX(products!$C$1:$C$49,MATCH($D512,products!$A$1:$A$49,0))</f>
        <v>L</v>
      </c>
      <c r="K512" s="4">
        <f>INDEX(products!$D$1:$D$49,MATCH($D512,products!$A$1:$A$49,0))</f>
        <v>0.2</v>
      </c>
      <c r="L512" s="5">
        <f>INDEX(products!$E$1:$E$49,MATCH($D512,products!$A$1:$A$49,0))</f>
        <v>3.5849999999999995</v>
      </c>
      <c r="M512" s="5">
        <f t="shared" si="7"/>
        <v>10.754999999999999</v>
      </c>
      <c r="N512" t="str" cm="1">
        <f t="array" ref="N512">_xlfn.IFS(I512="Rob","Robusta",I512="Exc","Excelsa",I512="Ara","Arabica",I512="Lib","Liberica")</f>
        <v>Robusta</v>
      </c>
      <c r="O512" t="str" cm="1">
        <f t="array" ref="O512">_xlfn.SWITCH($J512,"M","Medium","L","Light","D","Dark")</f>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IF(_xlfn.XLOOKUP(C513,customers!$A$1:$A$1001,customers!$C$1:$C$1001,,0)=0,"Not _Provided",_xlfn.XLOOKUP(C513,customers!$A$1:$A$1001,customers!$C$1:$C$1001,,0))</f>
        <v>cbeinee7@xinhuanet.com</v>
      </c>
      <c r="H513" s="2" t="str">
        <f>_xlfn.XLOOKUP(C513,customers!$A$1:$A$1001,customers!$G$1:$G$1001,,0)</f>
        <v>United States</v>
      </c>
      <c r="I513" t="str">
        <f>INDEX(products!$B$1:$B$49,MATCH($D513,products!$A$1:$A$49,0))</f>
        <v>Ara</v>
      </c>
      <c r="J513" t="str">
        <f>INDEX(products!$C$1:$C$49,MATCH($D513,products!$A$1:$A$49,0))</f>
        <v>M</v>
      </c>
      <c r="K513" s="4">
        <f>INDEX(products!$D$1:$D$49,MATCH($D513,products!$A$1:$A$49,0))</f>
        <v>0.2</v>
      </c>
      <c r="L513" s="5">
        <f>INDEX(products!$E$1:$E$49,MATCH($D513,products!$A$1:$A$49,0))</f>
        <v>3.375</v>
      </c>
      <c r="M513" s="5">
        <f t="shared" si="7"/>
        <v>13.5</v>
      </c>
      <c r="N513" t="str" cm="1">
        <f t="array" ref="N513">_xlfn.IFS(I513="Rob","Robusta",I513="Exc","Excelsa",I513="Ara","Arabica",I513="Lib","Liberica")</f>
        <v>Arabica</v>
      </c>
      <c r="O513" t="str" cm="1">
        <f t="array" ref="O513">_xlfn.SWITCH($J513,"M","Medium","L","Light","D","Dark")</f>
        <v>Medium</v>
      </c>
      <c r="P513" t="str">
        <f>_xlfn.XLOOKUP(Table1[[#This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IF(_xlfn.XLOOKUP(C514,customers!$A$1:$A$1001,customers!$C$1:$C$1001,,0)=0,"Not _Provided",_xlfn.XLOOKUP(C514,customers!$A$1:$A$1001,customers!$C$1:$C$1001,,0))</f>
        <v>cbakeupe8@globo.com</v>
      </c>
      <c r="H514" s="2" t="str">
        <f>_xlfn.XLOOKUP(C514,customers!$A$1:$A$1001,customers!$G$1:$G$1001,,0)</f>
        <v>United States</v>
      </c>
      <c r="I514" t="str">
        <f>INDEX(products!$B$1:$B$49,MATCH($D514,products!$A$1:$A$49,0))</f>
        <v>Lib</v>
      </c>
      <c r="J514" t="str">
        <f>INDEX(products!$C$1:$C$49,MATCH($D514,products!$A$1:$A$49,0))</f>
        <v>L</v>
      </c>
      <c r="K514" s="4">
        <f>INDEX(products!$D$1:$D$49,MATCH($D514,products!$A$1:$A$49,0))</f>
        <v>1</v>
      </c>
      <c r="L514" s="5">
        <f>INDEX(products!$E$1:$E$49,MATCH($D514,products!$A$1:$A$49,0))</f>
        <v>15.85</v>
      </c>
      <c r="M514" s="5">
        <f t="shared" si="7"/>
        <v>47.55</v>
      </c>
      <c r="N514" t="str" cm="1">
        <f t="array" ref="N514">_xlfn.IFS(I514="Rob","Robusta",I514="Exc","Excelsa",I514="Ara","Arabica",I514="Lib","Liberica")</f>
        <v>Liberica</v>
      </c>
      <c r="O514" t="str" cm="1">
        <f t="array" ref="O514">_xlfn.SWITCH($J514,"M","Medium","L","Light","D","Dark")</f>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IF(_xlfn.XLOOKUP(C515,customers!$A$1:$A$1001,customers!$C$1:$C$1001,,0)=0,"Not _Provided",_xlfn.XLOOKUP(C515,customers!$A$1:$A$1001,customers!$C$1:$C$1001,,0))</f>
        <v>nhelkine9@example.com</v>
      </c>
      <c r="H515" s="2" t="str">
        <f>_xlfn.XLOOKUP(C515,customers!$A$1:$A$1001,customers!$G$1:$G$1001,,0)</f>
        <v>United States</v>
      </c>
      <c r="I515" t="str">
        <f>INDEX(products!$B$1:$B$49,MATCH($D515,products!$A$1:$A$49,0))</f>
        <v>Lib</v>
      </c>
      <c r="J515" t="str">
        <f>INDEX(products!$C$1:$C$49,MATCH($D515,products!$A$1:$A$49,0))</f>
        <v>L</v>
      </c>
      <c r="K515" s="4">
        <f>INDEX(products!$D$1:$D$49,MATCH($D515,products!$A$1:$A$49,0))</f>
        <v>1</v>
      </c>
      <c r="L515" s="5">
        <f>INDEX(products!$E$1:$E$49,MATCH($D515,products!$A$1:$A$49,0))</f>
        <v>15.85</v>
      </c>
      <c r="M515" s="5">
        <f t="shared" ref="M515:M578" si="8">E515*L515</f>
        <v>79.25</v>
      </c>
      <c r="N515" t="str" cm="1">
        <f t="array" ref="N515">_xlfn.IFS(I515="Rob","Robusta",I515="Exc","Excelsa",I515="Ara","Arabica",I515="Lib","Liberica")</f>
        <v>Liberica</v>
      </c>
      <c r="O515" t="str" cm="1">
        <f t="array" ref="O515">_xlfn.SWITCH($J515,"M","Medium","L","Light","D","Dark")</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IF(_xlfn.XLOOKUP(C516,customers!$A$1:$A$1001,customers!$C$1:$C$1001,,0)=0,"Not _Provided",_xlfn.XLOOKUP(C516,customers!$A$1:$A$1001,customers!$C$1:$C$1001,,0))</f>
        <v>pwitheringtonea@networkadvertising.org</v>
      </c>
      <c r="H516" s="2" t="str">
        <f>_xlfn.XLOOKUP(C516,customers!$A$1:$A$1001,customers!$G$1:$G$1001,,0)</f>
        <v>United States</v>
      </c>
      <c r="I516" t="str">
        <f>INDEX(products!$B$1:$B$49,MATCH($D516,products!$A$1:$A$49,0))</f>
        <v>Lib</v>
      </c>
      <c r="J516" t="str">
        <f>INDEX(products!$C$1:$C$49,MATCH($D516,products!$A$1:$A$49,0))</f>
        <v>M</v>
      </c>
      <c r="K516" s="4">
        <f>INDEX(products!$D$1:$D$49,MATCH($D516,products!$A$1:$A$49,0))</f>
        <v>0.2</v>
      </c>
      <c r="L516" s="5">
        <f>INDEX(products!$E$1:$E$49,MATCH($D516,products!$A$1:$A$49,0))</f>
        <v>4.3650000000000002</v>
      </c>
      <c r="M516" s="5">
        <f t="shared" si="8"/>
        <v>26.19</v>
      </c>
      <c r="N516" t="str" cm="1">
        <f t="array" ref="N516">_xlfn.IFS(I516="Rob","Robusta",I516="Exc","Excelsa",I516="Ara","Arabica",I516="Lib","Liberica")</f>
        <v>Liberica</v>
      </c>
      <c r="O516" t="str" cm="1">
        <f t="array" ref="O516">_xlfn.SWITCH($J516,"M","Medium","L","Light","D","Dark")</f>
        <v>Medium</v>
      </c>
      <c r="P516" t="str">
        <f>_xlfn.XLOOKUP(Table1[[#This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IF(_xlfn.XLOOKUP(C517,customers!$A$1:$A$1001,customers!$C$1:$C$1001,,0)=0,"Not _Provided",_xlfn.XLOOKUP(C517,customers!$A$1:$A$1001,customers!$C$1:$C$1001,,0))</f>
        <v>ttilzeyeb@hostgator.com</v>
      </c>
      <c r="H517" s="2" t="str">
        <f>_xlfn.XLOOKUP(C517,customers!$A$1:$A$1001,customers!$G$1:$G$1001,,0)</f>
        <v>United States</v>
      </c>
      <c r="I517" t="str">
        <f>INDEX(products!$B$1:$B$49,MATCH($D517,products!$A$1:$A$49,0))</f>
        <v>Rob</v>
      </c>
      <c r="J517" t="str">
        <f>INDEX(products!$C$1:$C$49,MATCH($D517,products!$A$1:$A$49,0))</f>
        <v>L</v>
      </c>
      <c r="K517" s="4">
        <f>INDEX(products!$D$1:$D$49,MATCH($D517,products!$A$1:$A$49,0))</f>
        <v>0.5</v>
      </c>
      <c r="L517" s="5">
        <f>INDEX(products!$E$1:$E$49,MATCH($D517,products!$A$1:$A$49,0))</f>
        <v>7.169999999999999</v>
      </c>
      <c r="M517" s="5">
        <f t="shared" si="8"/>
        <v>21.509999999999998</v>
      </c>
      <c r="N517" t="str" cm="1">
        <f t="array" ref="N517">_xlfn.IFS(I517="Rob","Robusta",I517="Exc","Excelsa",I517="Ara","Arabica",I517="Lib","Liberica")</f>
        <v>Robusta</v>
      </c>
      <c r="O517" t="str" cm="1">
        <f t="array" ref="O517">_xlfn.SWITCH($J517,"M","Medium","L","Light","D","Dark")</f>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IF(_xlfn.XLOOKUP(C518,customers!$A$1:$A$1001,customers!$C$1:$C$1001,,0)=0,"Not _Provided",_xlfn.XLOOKUP(C518,customers!$A$1:$A$1001,customers!$C$1:$C$1001,,0))</f>
        <v>Not _Provided</v>
      </c>
      <c r="H518" s="2" t="str">
        <f>_xlfn.XLOOKUP(C518,customers!$A$1:$A$1001,customers!$G$1:$G$1001,,0)</f>
        <v>United States</v>
      </c>
      <c r="I518" t="str">
        <f>INDEX(products!$B$1:$B$49,MATCH($D518,products!$A$1:$A$49,0))</f>
        <v>Rob</v>
      </c>
      <c r="J518" t="str">
        <f>INDEX(products!$C$1:$C$49,MATCH($D518,products!$A$1:$A$49,0))</f>
        <v>D</v>
      </c>
      <c r="K518" s="4">
        <f>INDEX(products!$D$1:$D$49,MATCH($D518,products!$A$1:$A$49,0))</f>
        <v>2.5</v>
      </c>
      <c r="L518" s="5">
        <f>INDEX(products!$E$1:$E$49,MATCH($D518,products!$A$1:$A$49,0))</f>
        <v>20.584999999999997</v>
      </c>
      <c r="M518" s="5">
        <f t="shared" si="8"/>
        <v>102.92499999999998</v>
      </c>
      <c r="N518" t="str" cm="1">
        <f t="array" ref="N518">_xlfn.IFS(I518="Rob","Robusta",I518="Exc","Excelsa",I518="Ara","Arabica",I518="Lib","Liberica")</f>
        <v>Robusta</v>
      </c>
      <c r="O518" t="str" cm="1">
        <f t="array" ref="O518">_xlfn.SWITCH($J518,"M","Medium","L","Light","D","Dark")</f>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IF(_xlfn.XLOOKUP(C519,customers!$A$1:$A$1001,customers!$C$1:$C$1001,,0)=0,"Not _Provided",_xlfn.XLOOKUP(C519,customers!$A$1:$A$1001,customers!$C$1:$C$1001,,0))</f>
        <v>Not _Provided</v>
      </c>
      <c r="H519" s="2" t="str">
        <f>_xlfn.XLOOKUP(C519,customers!$A$1:$A$1001,customers!$G$1:$G$1001,,0)</f>
        <v>United States</v>
      </c>
      <c r="I519" t="str">
        <f>INDEX(products!$B$1:$B$49,MATCH($D519,products!$A$1:$A$49,0))</f>
        <v>Lib</v>
      </c>
      <c r="J519" t="str">
        <f>INDEX(products!$C$1:$C$49,MATCH($D519,products!$A$1:$A$49,0))</f>
        <v>D</v>
      </c>
      <c r="K519" s="4">
        <f>INDEX(products!$D$1:$D$49,MATCH($D519,products!$A$1:$A$49,0))</f>
        <v>0.2</v>
      </c>
      <c r="L519" s="5">
        <f>INDEX(products!$E$1:$E$49,MATCH($D519,products!$A$1:$A$49,0))</f>
        <v>3.8849999999999998</v>
      </c>
      <c r="M519" s="5">
        <f t="shared" si="8"/>
        <v>7.77</v>
      </c>
      <c r="N519" t="str" cm="1">
        <f t="array" ref="N519">_xlfn.IFS(I519="Rob","Robusta",I519="Exc","Excelsa",I519="Ara","Arabica",I519="Lib","Liberica")</f>
        <v>Liberica</v>
      </c>
      <c r="O519" t="str" cm="1">
        <f t="array" ref="O519">_xlfn.SWITCH($J519,"M","Medium","L","Light","D","Dark")</f>
        <v>Dark</v>
      </c>
      <c r="P519" t="str">
        <f>_xlfn.XLOOKUP(Table1[[#This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IF(_xlfn.XLOOKUP(C520,customers!$A$1:$A$1001,customers!$C$1:$C$1001,,0)=0,"Not _Provided",_xlfn.XLOOKUP(C520,customers!$A$1:$A$1001,customers!$C$1:$C$1001,,0))</f>
        <v>kimortsee@alexa.com</v>
      </c>
      <c r="H520" s="2" t="str">
        <f>_xlfn.XLOOKUP(C520,customers!$A$1:$A$1001,customers!$G$1:$G$1001,,0)</f>
        <v>United States</v>
      </c>
      <c r="I520" t="str">
        <f>INDEX(products!$B$1:$B$49,MATCH($D520,products!$A$1:$A$49,0))</f>
        <v>Exc</v>
      </c>
      <c r="J520" t="str">
        <f>INDEX(products!$C$1:$C$49,MATCH($D520,products!$A$1:$A$49,0))</f>
        <v>D</v>
      </c>
      <c r="K520" s="4">
        <f>INDEX(products!$D$1:$D$49,MATCH($D520,products!$A$1:$A$49,0))</f>
        <v>2.5</v>
      </c>
      <c r="L520" s="5">
        <f>INDEX(products!$E$1:$E$49,MATCH($D520,products!$A$1:$A$49,0))</f>
        <v>27.945</v>
      </c>
      <c r="M520" s="5">
        <f t="shared" si="8"/>
        <v>139.72499999999999</v>
      </c>
      <c r="N520" t="str" cm="1">
        <f t="array" ref="N520">_xlfn.IFS(I520="Rob","Robusta",I520="Exc","Excelsa",I520="Ara","Arabica",I520="Lib","Liberica")</f>
        <v>Excelsa</v>
      </c>
      <c r="O520" t="str" cm="1">
        <f t="array" ref="O520">_xlfn.SWITCH($J520,"M","Medium","L","Light","D","Dark")</f>
        <v>Dark</v>
      </c>
      <c r="P520" t="str">
        <f>_xlfn.XLOOKUP(Table1[[#This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IF(_xlfn.XLOOKUP(C521,customers!$A$1:$A$1001,customers!$C$1:$C$1001,,0)=0,"Not _Provided",_xlfn.XLOOKUP(C521,customers!$A$1:$A$1001,customers!$C$1:$C$1001,,0))</f>
        <v>murione5@alexa.com</v>
      </c>
      <c r="H521" s="2" t="str">
        <f>_xlfn.XLOOKUP(C521,customers!$A$1:$A$1001,customers!$G$1:$G$1001,,0)</f>
        <v>Ireland</v>
      </c>
      <c r="I521" t="str">
        <f>INDEX(products!$B$1:$B$49,MATCH($D521,products!$A$1:$A$49,0))</f>
        <v>Ara</v>
      </c>
      <c r="J521" t="str">
        <f>INDEX(products!$C$1:$C$49,MATCH($D521,products!$A$1:$A$49,0))</f>
        <v>D</v>
      </c>
      <c r="K521" s="4">
        <f>INDEX(products!$D$1:$D$49,MATCH($D521,products!$A$1:$A$49,0))</f>
        <v>0.5</v>
      </c>
      <c r="L521" s="5">
        <f>INDEX(products!$E$1:$E$49,MATCH($D521,products!$A$1:$A$49,0))</f>
        <v>5.97</v>
      </c>
      <c r="M521" s="5">
        <f t="shared" si="8"/>
        <v>11.94</v>
      </c>
      <c r="N521" t="str" cm="1">
        <f t="array" ref="N521">_xlfn.IFS(I521="Rob","Robusta",I521="Exc","Excelsa",I521="Ara","Arabica",I521="Lib","Liberica")</f>
        <v>Arabica</v>
      </c>
      <c r="O521" t="str" cm="1">
        <f t="array" ref="O521">_xlfn.SWITCH($J521,"M","Medium","L","Light","D","Dark")</f>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IF(_xlfn.XLOOKUP(C522,customers!$A$1:$A$1001,customers!$C$1:$C$1001,,0)=0,"Not _Provided",_xlfn.XLOOKUP(C522,customers!$A$1:$A$1001,customers!$C$1:$C$1001,,0))</f>
        <v>marmisteadeg@blogtalkradio.com</v>
      </c>
      <c r="H522" s="2" t="str">
        <f>_xlfn.XLOOKUP(C522,customers!$A$1:$A$1001,customers!$G$1:$G$1001,,0)</f>
        <v>United States</v>
      </c>
      <c r="I522" t="str">
        <f>INDEX(products!$B$1:$B$49,MATCH($D522,products!$A$1:$A$49,0))</f>
        <v>Lib</v>
      </c>
      <c r="J522" t="str">
        <f>INDEX(products!$C$1:$C$49,MATCH($D522,products!$A$1:$A$49,0))</f>
        <v>D</v>
      </c>
      <c r="K522" s="4">
        <f>INDEX(products!$D$1:$D$49,MATCH($D522,products!$A$1:$A$49,0))</f>
        <v>0.2</v>
      </c>
      <c r="L522" s="5">
        <f>INDEX(products!$E$1:$E$49,MATCH($D522,products!$A$1:$A$49,0))</f>
        <v>3.8849999999999998</v>
      </c>
      <c r="M522" s="5">
        <f t="shared" si="8"/>
        <v>3.8849999999999998</v>
      </c>
      <c r="N522" t="str" cm="1">
        <f t="array" ref="N522">_xlfn.IFS(I522="Rob","Robusta",I522="Exc","Excelsa",I522="Ara","Arabica",I522="Lib","Liberica")</f>
        <v>Liberica</v>
      </c>
      <c r="O522" t="str" cm="1">
        <f t="array" ref="O522">_xlfn.SWITCH($J522,"M","Medium","L","Light","D","Dark")</f>
        <v>Dark</v>
      </c>
      <c r="P522" t="str">
        <f>_xlfn.XLOOKUP(Table1[[#This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IF(_xlfn.XLOOKUP(C523,customers!$A$1:$A$1001,customers!$C$1:$C$1001,,0)=0,"Not _Provided",_xlfn.XLOOKUP(C523,customers!$A$1:$A$1001,customers!$C$1:$C$1001,,0))</f>
        <v>marmisteadeg@blogtalkradio.com</v>
      </c>
      <c r="H523" s="2" t="str">
        <f>_xlfn.XLOOKUP(C523,customers!$A$1:$A$1001,customers!$G$1:$G$1001,,0)</f>
        <v>United States</v>
      </c>
      <c r="I523" t="str">
        <f>INDEX(products!$B$1:$B$49,MATCH($D523,products!$A$1:$A$49,0))</f>
        <v>Rob</v>
      </c>
      <c r="J523" t="str">
        <f>INDEX(products!$C$1:$C$49,MATCH($D523,products!$A$1:$A$49,0))</f>
        <v>M</v>
      </c>
      <c r="K523" s="4">
        <f>INDEX(products!$D$1:$D$49,MATCH($D523,products!$A$1:$A$49,0))</f>
        <v>1</v>
      </c>
      <c r="L523" s="5">
        <f>INDEX(products!$E$1:$E$49,MATCH($D523,products!$A$1:$A$49,0))</f>
        <v>9.9499999999999993</v>
      </c>
      <c r="M523" s="5">
        <f t="shared" si="8"/>
        <v>39.799999999999997</v>
      </c>
      <c r="N523" t="str" cm="1">
        <f t="array" ref="N523">_xlfn.IFS(I523="Rob","Robusta",I523="Exc","Excelsa",I523="Ara","Arabica",I523="Lib","Liberica")</f>
        <v>Robusta</v>
      </c>
      <c r="O523" t="str" cm="1">
        <f t="array" ref="O523">_xlfn.SWITCH($J523,"M","Medium","L","Light","D","Dark")</f>
        <v>Medium</v>
      </c>
      <c r="P523" t="str">
        <f>_xlfn.XLOOKUP(Table1[[#This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IF(_xlfn.XLOOKUP(C524,customers!$A$1:$A$1001,customers!$C$1:$C$1001,,0)=0,"Not _Provided",_xlfn.XLOOKUP(C524,customers!$A$1:$A$1001,customers!$C$1:$C$1001,,0))</f>
        <v>vupstoneei@google.pl</v>
      </c>
      <c r="H524" s="2" t="str">
        <f>_xlfn.XLOOKUP(C524,customers!$A$1:$A$1001,customers!$G$1:$G$1001,,0)</f>
        <v>United States</v>
      </c>
      <c r="I524" t="str">
        <f>INDEX(products!$B$1:$B$49,MATCH($D524,products!$A$1:$A$49,0))</f>
        <v>Rob</v>
      </c>
      <c r="J524" t="str">
        <f>INDEX(products!$C$1:$C$49,MATCH($D524,products!$A$1:$A$49,0))</f>
        <v>M</v>
      </c>
      <c r="K524" s="4">
        <f>INDEX(products!$D$1:$D$49,MATCH($D524,products!$A$1:$A$49,0))</f>
        <v>0.5</v>
      </c>
      <c r="L524" s="5">
        <f>INDEX(products!$E$1:$E$49,MATCH($D524,products!$A$1:$A$49,0))</f>
        <v>5.97</v>
      </c>
      <c r="M524" s="5">
        <f t="shared" si="8"/>
        <v>29.849999999999998</v>
      </c>
      <c r="N524" t="str" cm="1">
        <f t="array" ref="N524">_xlfn.IFS(I524="Rob","Robusta",I524="Exc","Excelsa",I524="Ara","Arabica",I524="Lib","Liberica")</f>
        <v>Robusta</v>
      </c>
      <c r="O524" t="str" cm="1">
        <f t="array" ref="O524">_xlfn.SWITCH($J524,"M","Medium","L","Light","D","Dark")</f>
        <v>Medium</v>
      </c>
      <c r="P524" t="str">
        <f>_xlfn.XLOOKUP(Table1[[#This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IF(_xlfn.XLOOKUP(C525,customers!$A$1:$A$1001,customers!$C$1:$C$1001,,0)=0,"Not _Provided",_xlfn.XLOOKUP(C525,customers!$A$1:$A$1001,customers!$C$1:$C$1001,,0))</f>
        <v>bbeelbyej@rediff.com</v>
      </c>
      <c r="H525" s="2" t="str">
        <f>_xlfn.XLOOKUP(C525,customers!$A$1:$A$1001,customers!$G$1:$G$1001,,0)</f>
        <v>Ireland</v>
      </c>
      <c r="I525" t="str">
        <f>INDEX(products!$B$1:$B$49,MATCH($D525,products!$A$1:$A$49,0))</f>
        <v>Lib</v>
      </c>
      <c r="J525" t="str">
        <f>INDEX(products!$C$1:$C$49,MATCH($D525,products!$A$1:$A$49,0))</f>
        <v>D</v>
      </c>
      <c r="K525" s="4">
        <f>INDEX(products!$D$1:$D$49,MATCH($D525,products!$A$1:$A$49,0))</f>
        <v>2.5</v>
      </c>
      <c r="L525" s="5">
        <f>INDEX(products!$E$1:$E$49,MATCH($D525,products!$A$1:$A$49,0))</f>
        <v>29.784999999999997</v>
      </c>
      <c r="M525" s="5">
        <f t="shared" si="8"/>
        <v>29.784999999999997</v>
      </c>
      <c r="N525" t="str" cm="1">
        <f t="array" ref="N525">_xlfn.IFS(I525="Rob","Robusta",I525="Exc","Excelsa",I525="Ara","Arabica",I525="Lib","Liberica")</f>
        <v>Liberica</v>
      </c>
      <c r="O525" t="str" cm="1">
        <f t="array" ref="O525">_xlfn.SWITCH($J525,"M","Medium","L","Light","D","Dark")</f>
        <v>Dark</v>
      </c>
      <c r="P525" t="str">
        <f>_xlfn.XLOOKUP(Table1[[#This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IF(_xlfn.XLOOKUP(C526,customers!$A$1:$A$1001,customers!$C$1:$C$1001,,0)=0,"Not _Provided",_xlfn.XLOOKUP(C526,customers!$A$1:$A$1001,customers!$C$1:$C$1001,,0))</f>
        <v>Not _Provided</v>
      </c>
      <c r="H526" s="2" t="str">
        <f>_xlfn.XLOOKUP(C526,customers!$A$1:$A$1001,customers!$G$1:$G$1001,,0)</f>
        <v>United States</v>
      </c>
      <c r="I526" t="str">
        <f>INDEX(products!$B$1:$B$49,MATCH($D526,products!$A$1:$A$49,0))</f>
        <v>Lib</v>
      </c>
      <c r="J526" t="str">
        <f>INDEX(products!$C$1:$C$49,MATCH($D526,products!$A$1:$A$49,0))</f>
        <v>L</v>
      </c>
      <c r="K526" s="4">
        <f>INDEX(products!$D$1:$D$49,MATCH($D526,products!$A$1:$A$49,0))</f>
        <v>2.5</v>
      </c>
      <c r="L526" s="5">
        <f>INDEX(products!$E$1:$E$49,MATCH($D526,products!$A$1:$A$49,0))</f>
        <v>36.454999999999998</v>
      </c>
      <c r="M526" s="5">
        <f t="shared" si="8"/>
        <v>72.91</v>
      </c>
      <c r="N526" t="str" cm="1">
        <f t="array" ref="N526">_xlfn.IFS(I526="Rob","Robusta",I526="Exc","Excelsa",I526="Ara","Arabica",I526="Lib","Liberica")</f>
        <v>Liberica</v>
      </c>
      <c r="O526" t="str" cm="1">
        <f t="array" ref="O526">_xlfn.SWITCH($J526,"M","Medium","L","Light","D","Dark")</f>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IF(_xlfn.XLOOKUP(C527,customers!$A$1:$A$1001,customers!$C$1:$C$1001,,0)=0,"Not _Provided",_xlfn.XLOOKUP(C527,customers!$A$1:$A$1001,customers!$C$1:$C$1001,,0))</f>
        <v>Not _Provided</v>
      </c>
      <c r="H527" s="2" t="str">
        <f>_xlfn.XLOOKUP(C527,customers!$A$1:$A$1001,customers!$G$1:$G$1001,,0)</f>
        <v>United States</v>
      </c>
      <c r="I527" t="str">
        <f>INDEX(products!$B$1:$B$49,MATCH($D527,products!$A$1:$A$49,0))</f>
        <v>Rob</v>
      </c>
      <c r="J527" t="str">
        <f>INDEX(products!$C$1:$C$49,MATCH($D527,products!$A$1:$A$49,0))</f>
        <v>D</v>
      </c>
      <c r="K527" s="4">
        <f>INDEX(products!$D$1:$D$49,MATCH($D527,products!$A$1:$A$49,0))</f>
        <v>0.2</v>
      </c>
      <c r="L527" s="5">
        <f>INDEX(products!$E$1:$E$49,MATCH($D527,products!$A$1:$A$49,0))</f>
        <v>2.6849999999999996</v>
      </c>
      <c r="M527" s="5">
        <f t="shared" si="8"/>
        <v>13.424999999999997</v>
      </c>
      <c r="N527" t="str" cm="1">
        <f t="array" ref="N527">_xlfn.IFS(I527="Rob","Robusta",I527="Exc","Excelsa",I527="Ara","Arabica",I527="Lib","Liberica")</f>
        <v>Robusta</v>
      </c>
      <c r="O527" t="str" cm="1">
        <f t="array" ref="O527">_xlfn.SWITCH($J527,"M","Medium","L","Light","D","Dark")</f>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IF(_xlfn.XLOOKUP(C528,customers!$A$1:$A$1001,customers!$C$1:$C$1001,,0)=0,"Not _Provided",_xlfn.XLOOKUP(C528,customers!$A$1:$A$1001,customers!$C$1:$C$1001,,0))</f>
        <v>wspeechlyem@amazon.com</v>
      </c>
      <c r="H528" s="2" t="str">
        <f>_xlfn.XLOOKUP(C528,customers!$A$1:$A$1001,customers!$G$1:$G$1001,,0)</f>
        <v>United States</v>
      </c>
      <c r="I528" t="str">
        <f>INDEX(products!$B$1:$B$49,MATCH($D528,products!$A$1:$A$49,0))</f>
        <v>Exc</v>
      </c>
      <c r="J528" t="str">
        <f>INDEX(products!$C$1:$C$49,MATCH($D528,products!$A$1:$A$49,0))</f>
        <v>M</v>
      </c>
      <c r="K528" s="4">
        <f>INDEX(products!$D$1:$D$49,MATCH($D528,products!$A$1:$A$49,0))</f>
        <v>2.5</v>
      </c>
      <c r="L528" s="5">
        <f>INDEX(products!$E$1:$E$49,MATCH($D528,products!$A$1:$A$49,0))</f>
        <v>31.624999999999996</v>
      </c>
      <c r="M528" s="5">
        <f t="shared" si="8"/>
        <v>126.49999999999999</v>
      </c>
      <c r="N528" t="str" cm="1">
        <f t="array" ref="N528">_xlfn.IFS(I528="Rob","Robusta",I528="Exc","Excelsa",I528="Ara","Arabica",I528="Lib","Liberica")</f>
        <v>Excelsa</v>
      </c>
      <c r="O528" t="str" cm="1">
        <f t="array" ref="O528">_xlfn.SWITCH($J528,"M","Medium","L","Light","D","Dark")</f>
        <v>Medium</v>
      </c>
      <c r="P528" t="str">
        <f>_xlfn.XLOOKUP(Table1[[#This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IF(_xlfn.XLOOKUP(C529,customers!$A$1:$A$1001,customers!$C$1:$C$1001,,0)=0,"Not _Provided",_xlfn.XLOOKUP(C529,customers!$A$1:$A$1001,customers!$C$1:$C$1001,,0))</f>
        <v>iphillpoten@buzzfeed.com</v>
      </c>
      <c r="H529" s="2" t="str">
        <f>_xlfn.XLOOKUP(C529,customers!$A$1:$A$1001,customers!$G$1:$G$1001,,0)</f>
        <v>United Kingdom</v>
      </c>
      <c r="I529" t="str">
        <f>INDEX(products!$B$1:$B$49,MATCH($D529,products!$A$1:$A$49,0))</f>
        <v>Exc</v>
      </c>
      <c r="J529" t="str">
        <f>INDEX(products!$C$1:$C$49,MATCH($D529,products!$A$1:$A$49,0))</f>
        <v>M</v>
      </c>
      <c r="K529" s="4">
        <f>INDEX(products!$D$1:$D$49,MATCH($D529,products!$A$1:$A$49,0))</f>
        <v>0.5</v>
      </c>
      <c r="L529" s="5">
        <f>INDEX(products!$E$1:$E$49,MATCH($D529,products!$A$1:$A$49,0))</f>
        <v>8.25</v>
      </c>
      <c r="M529" s="5">
        <f t="shared" si="8"/>
        <v>41.25</v>
      </c>
      <c r="N529" t="str" cm="1">
        <f t="array" ref="N529">_xlfn.IFS(I529="Rob","Robusta",I529="Exc","Excelsa",I529="Ara","Arabica",I529="Lib","Liberica")</f>
        <v>Excelsa</v>
      </c>
      <c r="O529" t="str" cm="1">
        <f t="array" ref="O529">_xlfn.SWITCH($J529,"M","Medium","L","Light","D","Dark")</f>
        <v>Medium</v>
      </c>
      <c r="P529" t="str">
        <f>_xlfn.XLOOKUP(Table1[[#This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IF(_xlfn.XLOOKUP(C530,customers!$A$1:$A$1001,customers!$C$1:$C$1001,,0)=0,"Not _Provided",_xlfn.XLOOKUP(C530,customers!$A$1:$A$1001,customers!$C$1:$C$1001,,0))</f>
        <v>lpennaccieo@statcounter.com</v>
      </c>
      <c r="H530" s="2" t="str">
        <f>_xlfn.XLOOKUP(C530,customers!$A$1:$A$1001,customers!$G$1:$G$1001,,0)</f>
        <v>United States</v>
      </c>
      <c r="I530" t="str">
        <f>INDEX(products!$B$1:$B$49,MATCH($D530,products!$A$1:$A$49,0))</f>
        <v>Exc</v>
      </c>
      <c r="J530" t="str">
        <f>INDEX(products!$C$1:$C$49,MATCH($D530,products!$A$1:$A$49,0))</f>
        <v>L</v>
      </c>
      <c r="K530" s="4">
        <f>INDEX(products!$D$1:$D$49,MATCH($D530,products!$A$1:$A$49,0))</f>
        <v>0.5</v>
      </c>
      <c r="L530" s="5">
        <f>INDEX(products!$E$1:$E$49,MATCH($D530,products!$A$1:$A$49,0))</f>
        <v>8.91</v>
      </c>
      <c r="M530" s="5">
        <f t="shared" si="8"/>
        <v>53.46</v>
      </c>
      <c r="N530" t="str" cm="1">
        <f t="array" ref="N530">_xlfn.IFS(I530="Rob","Robusta",I530="Exc","Excelsa",I530="Ara","Arabica",I530="Lib","Liberica")</f>
        <v>Excelsa</v>
      </c>
      <c r="O530" t="str" cm="1">
        <f t="array" ref="O530">_xlfn.SWITCH($J530,"M","Medium","L","Light","D","Dark")</f>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IF(_xlfn.XLOOKUP(C531,customers!$A$1:$A$1001,customers!$C$1:$C$1001,,0)=0,"Not _Provided",_xlfn.XLOOKUP(C531,customers!$A$1:$A$1001,customers!$C$1:$C$1001,,0))</f>
        <v>sarpinep@moonfruit.com</v>
      </c>
      <c r="H531" s="2" t="str">
        <f>_xlfn.XLOOKUP(C531,customers!$A$1:$A$1001,customers!$G$1:$G$1001,,0)</f>
        <v>United States</v>
      </c>
      <c r="I531" t="str">
        <f>INDEX(products!$B$1:$B$49,MATCH($D531,products!$A$1:$A$49,0))</f>
        <v>Rob</v>
      </c>
      <c r="J531" t="str">
        <f>INDEX(products!$C$1:$C$49,MATCH($D531,products!$A$1:$A$49,0))</f>
        <v>M</v>
      </c>
      <c r="K531" s="4">
        <f>INDEX(products!$D$1:$D$49,MATCH($D531,products!$A$1:$A$49,0))</f>
        <v>1</v>
      </c>
      <c r="L531" s="5">
        <f>INDEX(products!$E$1:$E$49,MATCH($D531,products!$A$1:$A$49,0))</f>
        <v>9.9499999999999993</v>
      </c>
      <c r="M531" s="5">
        <f t="shared" si="8"/>
        <v>59.699999999999996</v>
      </c>
      <c r="N531" t="str" cm="1">
        <f t="array" ref="N531">_xlfn.IFS(I531="Rob","Robusta",I531="Exc","Excelsa",I531="Ara","Arabica",I531="Lib","Liberica")</f>
        <v>Robusta</v>
      </c>
      <c r="O531" t="str" cm="1">
        <f t="array" ref="O531">_xlfn.SWITCH($J531,"M","Medium","L","Light","D","Dark")</f>
        <v>Medium</v>
      </c>
      <c r="P531" t="str">
        <f>_xlfn.XLOOKUP(Table1[[#This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IF(_xlfn.XLOOKUP(C532,customers!$A$1:$A$1001,customers!$C$1:$C$1001,,0)=0,"Not _Provided",_xlfn.XLOOKUP(C532,customers!$A$1:$A$1001,customers!$C$1:$C$1001,,0))</f>
        <v>dfrieseq@cargocollective.com</v>
      </c>
      <c r="H532" s="2" t="str">
        <f>_xlfn.XLOOKUP(C532,customers!$A$1:$A$1001,customers!$G$1:$G$1001,,0)</f>
        <v>United States</v>
      </c>
      <c r="I532" t="str">
        <f>INDEX(products!$B$1:$B$49,MATCH($D532,products!$A$1:$A$49,0))</f>
        <v>Rob</v>
      </c>
      <c r="J532" t="str">
        <f>INDEX(products!$C$1:$C$49,MATCH($D532,products!$A$1:$A$49,0))</f>
        <v>M</v>
      </c>
      <c r="K532" s="4">
        <f>INDEX(products!$D$1:$D$49,MATCH($D532,products!$A$1:$A$49,0))</f>
        <v>1</v>
      </c>
      <c r="L532" s="5">
        <f>INDEX(products!$E$1:$E$49,MATCH($D532,products!$A$1:$A$49,0))</f>
        <v>9.9499999999999993</v>
      </c>
      <c r="M532" s="5">
        <f t="shared" si="8"/>
        <v>59.699999999999996</v>
      </c>
      <c r="N532" t="str" cm="1">
        <f t="array" ref="N532">_xlfn.IFS(I532="Rob","Robusta",I532="Exc","Excelsa",I532="Ara","Arabica",I532="Lib","Liberica")</f>
        <v>Robusta</v>
      </c>
      <c r="O532" t="str" cm="1">
        <f t="array" ref="O532">_xlfn.SWITCH($J532,"M","Medium","L","Light","D","Dark")</f>
        <v>Medium</v>
      </c>
      <c r="P532" t="str">
        <f>_xlfn.XLOOKUP(Table1[[#This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IF(_xlfn.XLOOKUP(C533,customers!$A$1:$A$1001,customers!$C$1:$C$1001,,0)=0,"Not _Provided",_xlfn.XLOOKUP(C533,customers!$A$1:$A$1001,customers!$C$1:$C$1001,,0))</f>
        <v>rsharerer@flavors.me</v>
      </c>
      <c r="H533" s="2" t="str">
        <f>_xlfn.XLOOKUP(C533,customers!$A$1:$A$1001,customers!$G$1:$G$1001,,0)</f>
        <v>United States</v>
      </c>
      <c r="I533" t="str">
        <f>INDEX(products!$B$1:$B$49,MATCH($D533,products!$A$1:$A$49,0))</f>
        <v>Rob</v>
      </c>
      <c r="J533" t="str">
        <f>INDEX(products!$C$1:$C$49,MATCH($D533,products!$A$1:$A$49,0))</f>
        <v>D</v>
      </c>
      <c r="K533" s="4">
        <f>INDEX(products!$D$1:$D$49,MATCH($D533,products!$A$1:$A$49,0))</f>
        <v>1</v>
      </c>
      <c r="L533" s="5">
        <f>INDEX(products!$E$1:$E$49,MATCH($D533,products!$A$1:$A$49,0))</f>
        <v>8.9499999999999993</v>
      </c>
      <c r="M533" s="5">
        <f t="shared" si="8"/>
        <v>44.75</v>
      </c>
      <c r="N533" t="str" cm="1">
        <f t="array" ref="N533">_xlfn.IFS(I533="Rob","Robusta",I533="Exc","Excelsa",I533="Ara","Arabica",I533="Lib","Liberica")</f>
        <v>Robusta</v>
      </c>
      <c r="O533" t="str" cm="1">
        <f t="array" ref="O533">_xlfn.SWITCH($J533,"M","Medium","L","Light","D","Dark")</f>
        <v>Dark</v>
      </c>
      <c r="P533" t="str">
        <f>_xlfn.XLOOKUP(Table1[[#This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IF(_xlfn.XLOOKUP(C534,customers!$A$1:$A$1001,customers!$C$1:$C$1001,,0)=0,"Not _Provided",_xlfn.XLOOKUP(C534,customers!$A$1:$A$1001,customers!$C$1:$C$1001,,0))</f>
        <v>nnasebyes@umich.edu</v>
      </c>
      <c r="H534" s="2" t="str">
        <f>_xlfn.XLOOKUP(C534,customers!$A$1:$A$1001,customers!$G$1:$G$1001,,0)</f>
        <v>United States</v>
      </c>
      <c r="I534" t="str">
        <f>INDEX(products!$B$1:$B$49,MATCH($D534,products!$A$1:$A$49,0))</f>
        <v>Exc</v>
      </c>
      <c r="J534" t="str">
        <f>INDEX(products!$C$1:$C$49,MATCH($D534,products!$A$1:$A$49,0))</f>
        <v>M</v>
      </c>
      <c r="K534" s="4">
        <f>INDEX(products!$D$1:$D$49,MATCH($D534,products!$A$1:$A$49,0))</f>
        <v>0.5</v>
      </c>
      <c r="L534" s="5">
        <f>INDEX(products!$E$1:$E$49,MATCH($D534,products!$A$1:$A$49,0))</f>
        <v>8.25</v>
      </c>
      <c r="M534" s="5">
        <f t="shared" si="8"/>
        <v>16.5</v>
      </c>
      <c r="N534" t="str" cm="1">
        <f t="array" ref="N534">_xlfn.IFS(I534="Rob","Robusta",I534="Exc","Excelsa",I534="Ara","Arabica",I534="Lib","Liberica")</f>
        <v>Excelsa</v>
      </c>
      <c r="O534" t="str" cm="1">
        <f t="array" ref="O534">_xlfn.SWITCH($J534,"M","Medium","L","Light","D","Dark")</f>
        <v>Medium</v>
      </c>
      <c r="P534" t="str">
        <f>_xlfn.XLOOKUP(Table1[[#This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IF(_xlfn.XLOOKUP(C535,customers!$A$1:$A$1001,customers!$C$1:$C$1001,,0)=0,"Not _Provided",_xlfn.XLOOKUP(C535,customers!$A$1:$A$1001,customers!$C$1:$C$1001,,0))</f>
        <v>Not _Provided</v>
      </c>
      <c r="H535" s="2" t="str">
        <f>_xlfn.XLOOKUP(C535,customers!$A$1:$A$1001,customers!$G$1:$G$1001,,0)</f>
        <v>United States</v>
      </c>
      <c r="I535" t="str">
        <f>INDEX(products!$B$1:$B$49,MATCH($D535,products!$A$1:$A$49,0))</f>
        <v>Rob</v>
      </c>
      <c r="J535" t="str">
        <f>INDEX(products!$C$1:$C$49,MATCH($D535,products!$A$1:$A$49,0))</f>
        <v>D</v>
      </c>
      <c r="K535" s="4">
        <f>INDEX(products!$D$1:$D$49,MATCH($D535,products!$A$1:$A$49,0))</f>
        <v>0.5</v>
      </c>
      <c r="L535" s="5">
        <f>INDEX(products!$E$1:$E$49,MATCH($D535,products!$A$1:$A$49,0))</f>
        <v>5.3699999999999992</v>
      </c>
      <c r="M535" s="5">
        <f t="shared" si="8"/>
        <v>21.479999999999997</v>
      </c>
      <c r="N535" t="str" cm="1">
        <f t="array" ref="N535">_xlfn.IFS(I535="Rob","Robusta",I535="Exc","Excelsa",I535="Ara","Arabica",I535="Lib","Liberica")</f>
        <v>Robusta</v>
      </c>
      <c r="O535" t="str" cm="1">
        <f t="array" ref="O535">_xlfn.SWITCH($J535,"M","Medium","L","Light","D","Dark")</f>
        <v>Dark</v>
      </c>
      <c r="P535" t="str">
        <f>_xlfn.XLOOKUP(Table1[[#This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IF(_xlfn.XLOOKUP(C536,customers!$A$1:$A$1001,customers!$C$1:$C$1001,,0)=0,"Not _Provided",_xlfn.XLOOKUP(C536,customers!$A$1:$A$1001,customers!$C$1:$C$1001,,0))</f>
        <v>koculleneu@ca.gov</v>
      </c>
      <c r="H536" s="2" t="str">
        <f>_xlfn.XLOOKUP(C536,customers!$A$1:$A$1001,customers!$G$1:$G$1001,,0)</f>
        <v>Ireland</v>
      </c>
      <c r="I536" t="str">
        <f>INDEX(products!$B$1:$B$49,MATCH($D536,products!$A$1:$A$49,0))</f>
        <v>Rob</v>
      </c>
      <c r="J536" t="str">
        <f>INDEX(products!$C$1:$C$49,MATCH($D536,products!$A$1:$A$49,0))</f>
        <v>M</v>
      </c>
      <c r="K536" s="4">
        <f>INDEX(products!$D$1:$D$49,MATCH($D536,products!$A$1:$A$49,0))</f>
        <v>2.5</v>
      </c>
      <c r="L536" s="5">
        <f>INDEX(products!$E$1:$E$49,MATCH($D536,products!$A$1:$A$49,0))</f>
        <v>22.884999999999998</v>
      </c>
      <c r="M536" s="5">
        <f t="shared" si="8"/>
        <v>45.769999999999996</v>
      </c>
      <c r="N536" t="str" cm="1">
        <f t="array" ref="N536">_xlfn.IFS(I536="Rob","Robusta",I536="Exc","Excelsa",I536="Ara","Arabica",I536="Lib","Liberica")</f>
        <v>Robusta</v>
      </c>
      <c r="O536" t="str" cm="1">
        <f t="array" ref="O536">_xlfn.SWITCH($J536,"M","Medium","L","Light","D","Dark")</f>
        <v>Medium</v>
      </c>
      <c r="P536" t="str">
        <f>_xlfn.XLOOKUP(Table1[[#This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IF(_xlfn.XLOOKUP(C537,customers!$A$1:$A$1001,customers!$C$1:$C$1001,,0)=0,"Not _Provided",_xlfn.XLOOKUP(C537,customers!$A$1:$A$1001,customers!$C$1:$C$1001,,0))</f>
        <v>Not _Provided</v>
      </c>
      <c r="H537" s="2" t="str">
        <f>_xlfn.XLOOKUP(C537,customers!$A$1:$A$1001,customers!$G$1:$G$1001,,0)</f>
        <v>Ireland</v>
      </c>
      <c r="I537" t="str">
        <f>INDEX(products!$B$1:$B$49,MATCH($D537,products!$A$1:$A$49,0))</f>
        <v>Lib</v>
      </c>
      <c r="J537" t="str">
        <f>INDEX(products!$C$1:$C$49,MATCH($D537,products!$A$1:$A$49,0))</f>
        <v>L</v>
      </c>
      <c r="K537" s="4">
        <f>INDEX(products!$D$1:$D$49,MATCH($D537,products!$A$1:$A$49,0))</f>
        <v>0.2</v>
      </c>
      <c r="L537" s="5">
        <f>INDEX(products!$E$1:$E$49,MATCH($D537,products!$A$1:$A$49,0))</f>
        <v>4.7549999999999999</v>
      </c>
      <c r="M537" s="5">
        <f t="shared" si="8"/>
        <v>9.51</v>
      </c>
      <c r="N537" t="str" cm="1">
        <f t="array" ref="N537">_xlfn.IFS(I537="Rob","Robusta",I537="Exc","Excelsa",I537="Ara","Arabica",I537="Lib","Liberica")</f>
        <v>Liberica</v>
      </c>
      <c r="O537" t="str" cm="1">
        <f t="array" ref="O537">_xlfn.SWITCH($J537,"M","Medium","L","Light","D","Dark")</f>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IF(_xlfn.XLOOKUP(C538,customers!$A$1:$A$1001,customers!$C$1:$C$1001,,0)=0,"Not _Provided",_xlfn.XLOOKUP(C538,customers!$A$1:$A$1001,customers!$C$1:$C$1001,,0))</f>
        <v>murione5@alexa.com</v>
      </c>
      <c r="H538" s="2" t="str">
        <f>_xlfn.XLOOKUP(C538,customers!$A$1:$A$1001,customers!$G$1:$G$1001,,0)</f>
        <v>Ireland</v>
      </c>
      <c r="I538" t="str">
        <f>INDEX(products!$B$1:$B$49,MATCH($D538,products!$A$1:$A$49,0))</f>
        <v>Rob</v>
      </c>
      <c r="J538" t="str">
        <f>INDEX(products!$C$1:$C$49,MATCH($D538,products!$A$1:$A$49,0))</f>
        <v>D</v>
      </c>
      <c r="K538" s="4">
        <f>INDEX(products!$D$1:$D$49,MATCH($D538,products!$A$1:$A$49,0))</f>
        <v>0.2</v>
      </c>
      <c r="L538" s="5">
        <f>INDEX(products!$E$1:$E$49,MATCH($D538,products!$A$1:$A$49,0))</f>
        <v>2.6849999999999996</v>
      </c>
      <c r="M538" s="5">
        <f t="shared" si="8"/>
        <v>8.0549999999999997</v>
      </c>
      <c r="N538" t="str" cm="1">
        <f t="array" ref="N538">_xlfn.IFS(I538="Rob","Robusta",I538="Exc","Excelsa",I538="Ara","Arabica",I538="Lib","Liberica")</f>
        <v>Robusta</v>
      </c>
      <c r="O538" t="str" cm="1">
        <f t="array" ref="O538">_xlfn.SWITCH($J538,"M","Medium","L","Light","D","Dark")</f>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IF(_xlfn.XLOOKUP(C539,customers!$A$1:$A$1001,customers!$C$1:$C$1001,,0)=0,"Not _Provided",_xlfn.XLOOKUP(C539,customers!$A$1:$A$1001,customers!$C$1:$C$1001,,0))</f>
        <v>hbranganex@woothemes.com</v>
      </c>
      <c r="H539" s="2" t="str">
        <f>_xlfn.XLOOKUP(C539,customers!$A$1:$A$1001,customers!$G$1:$G$1001,,0)</f>
        <v>United States</v>
      </c>
      <c r="I539" t="str">
        <f>INDEX(products!$B$1:$B$49,MATCH($D539,products!$A$1:$A$49,0))</f>
        <v>Exc</v>
      </c>
      <c r="J539" t="str">
        <f>INDEX(products!$C$1:$C$49,MATCH($D539,products!$A$1:$A$49,0))</f>
        <v>D</v>
      </c>
      <c r="K539" s="4">
        <f>INDEX(products!$D$1:$D$49,MATCH($D539,products!$A$1:$A$49,0))</f>
        <v>2.5</v>
      </c>
      <c r="L539" s="5">
        <f>INDEX(products!$E$1:$E$49,MATCH($D539,products!$A$1:$A$49,0))</f>
        <v>27.945</v>
      </c>
      <c r="M539" s="5">
        <f t="shared" si="8"/>
        <v>111.78</v>
      </c>
      <c r="N539" t="str" cm="1">
        <f t="array" ref="N539">_xlfn.IFS(I539="Rob","Robusta",I539="Exc","Excelsa",I539="Ara","Arabica",I539="Lib","Liberica")</f>
        <v>Excelsa</v>
      </c>
      <c r="O539" t="str" cm="1">
        <f t="array" ref="O539">_xlfn.SWITCH($J539,"M","Medium","L","Light","D","Dark")</f>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IF(_xlfn.XLOOKUP(C540,customers!$A$1:$A$1001,customers!$C$1:$C$1001,,0)=0,"Not _Provided",_xlfn.XLOOKUP(C540,customers!$A$1:$A$1001,customers!$C$1:$C$1001,,0))</f>
        <v>agallyoney@engadget.com</v>
      </c>
      <c r="H540" s="2" t="str">
        <f>_xlfn.XLOOKUP(C540,customers!$A$1:$A$1001,customers!$G$1:$G$1001,,0)</f>
        <v>United States</v>
      </c>
      <c r="I540" t="str">
        <f>INDEX(products!$B$1:$B$49,MATCH($D540,products!$A$1:$A$49,0))</f>
        <v>Rob</v>
      </c>
      <c r="J540" t="str">
        <f>INDEX(products!$C$1:$C$49,MATCH($D540,products!$A$1:$A$49,0))</f>
        <v>D</v>
      </c>
      <c r="K540" s="4">
        <f>INDEX(products!$D$1:$D$49,MATCH($D540,products!$A$1:$A$49,0))</f>
        <v>0.2</v>
      </c>
      <c r="L540" s="5">
        <f>INDEX(products!$E$1:$E$49,MATCH($D540,products!$A$1:$A$49,0))</f>
        <v>2.6849999999999996</v>
      </c>
      <c r="M540" s="5">
        <f t="shared" si="8"/>
        <v>10.739999999999998</v>
      </c>
      <c r="N540" t="str" cm="1">
        <f t="array" ref="N540">_xlfn.IFS(I540="Rob","Robusta",I540="Exc","Excelsa",I540="Ara","Arabica",I540="Lib","Liberica")</f>
        <v>Robusta</v>
      </c>
      <c r="O540" t="str" cm="1">
        <f t="array" ref="O540">_xlfn.SWITCH($J540,"M","Medium","L","Light","D","Dark")</f>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IF(_xlfn.XLOOKUP(C541,customers!$A$1:$A$1001,customers!$C$1:$C$1001,,0)=0,"Not _Provided",_xlfn.XLOOKUP(C541,customers!$A$1:$A$1001,customers!$C$1:$C$1001,,0))</f>
        <v>bdomangeez@yahoo.co.jp</v>
      </c>
      <c r="H541" s="2" t="str">
        <f>_xlfn.XLOOKUP(C541,customers!$A$1:$A$1001,customers!$G$1:$G$1001,,0)</f>
        <v>United States</v>
      </c>
      <c r="I541" t="str">
        <f>INDEX(products!$B$1:$B$49,MATCH($D541,products!$A$1:$A$49,0))</f>
        <v>Rob</v>
      </c>
      <c r="J541" t="str">
        <f>INDEX(products!$C$1:$C$49,MATCH($D541,products!$A$1:$A$49,0))</f>
        <v>D</v>
      </c>
      <c r="K541" s="4">
        <f>INDEX(products!$D$1:$D$49,MATCH($D541,products!$A$1:$A$49,0))</f>
        <v>0.5</v>
      </c>
      <c r="L541" s="5">
        <f>INDEX(products!$E$1:$E$49,MATCH($D541,products!$A$1:$A$49,0))</f>
        <v>5.3699999999999992</v>
      </c>
      <c r="M541" s="5">
        <f t="shared" si="8"/>
        <v>26.849999999999994</v>
      </c>
      <c r="N541" t="str" cm="1">
        <f t="array" ref="N541">_xlfn.IFS(I541="Rob","Robusta",I541="Exc","Excelsa",I541="Ara","Arabica",I541="Lib","Liberica")</f>
        <v>Robusta</v>
      </c>
      <c r="O541" t="str" cm="1">
        <f t="array" ref="O541">_xlfn.SWITCH($J541,"M","Medium","L","Light","D","Dark")</f>
        <v>Dark</v>
      </c>
      <c r="P541" t="str">
        <f>_xlfn.XLOOKUP(Table1[[#This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IF(_xlfn.XLOOKUP(C542,customers!$A$1:$A$1001,customers!$C$1:$C$1001,,0)=0,"Not _Provided",_xlfn.XLOOKUP(C542,customers!$A$1:$A$1001,customers!$C$1:$C$1001,,0))</f>
        <v>koslerf0@gmpg.org</v>
      </c>
      <c r="H542" s="2" t="str">
        <f>_xlfn.XLOOKUP(C542,customers!$A$1:$A$1001,customers!$G$1:$G$1001,,0)</f>
        <v>United States</v>
      </c>
      <c r="I542" t="str">
        <f>INDEX(products!$B$1:$B$49,MATCH($D542,products!$A$1:$A$49,0))</f>
        <v>Lib</v>
      </c>
      <c r="J542" t="str">
        <f>INDEX(products!$C$1:$C$49,MATCH($D542,products!$A$1:$A$49,0))</f>
        <v>L</v>
      </c>
      <c r="K542" s="4">
        <f>INDEX(products!$D$1:$D$49,MATCH($D542,products!$A$1:$A$49,0))</f>
        <v>1</v>
      </c>
      <c r="L542" s="5">
        <f>INDEX(products!$E$1:$E$49,MATCH($D542,products!$A$1:$A$49,0))</f>
        <v>15.85</v>
      </c>
      <c r="M542" s="5">
        <f t="shared" si="8"/>
        <v>63.4</v>
      </c>
      <c r="N542" t="str" cm="1">
        <f t="array" ref="N542">_xlfn.IFS(I542="Rob","Robusta",I542="Exc","Excelsa",I542="Ara","Arabica",I542="Lib","Liberica")</f>
        <v>Liberica</v>
      </c>
      <c r="O542" t="str" cm="1">
        <f t="array" ref="O542">_xlfn.SWITCH($J542,"M","Medium","L","Light","D","Dark")</f>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IF(_xlfn.XLOOKUP(C543,customers!$A$1:$A$1001,customers!$C$1:$C$1001,,0)=0,"Not _Provided",_xlfn.XLOOKUP(C543,customers!$A$1:$A$1001,customers!$C$1:$C$1001,,0))</f>
        <v>Not _Provided</v>
      </c>
      <c r="H543" s="2" t="str">
        <f>_xlfn.XLOOKUP(C543,customers!$A$1:$A$1001,customers!$G$1:$G$1001,,0)</f>
        <v>Ireland</v>
      </c>
      <c r="I543" t="str">
        <f>INDEX(products!$B$1:$B$49,MATCH($D543,products!$A$1:$A$49,0))</f>
        <v>Ara</v>
      </c>
      <c r="J543" t="str">
        <f>INDEX(products!$C$1:$C$49,MATCH($D543,products!$A$1:$A$49,0))</f>
        <v>D</v>
      </c>
      <c r="K543" s="4">
        <f>INDEX(products!$D$1:$D$49,MATCH($D543,products!$A$1:$A$49,0))</f>
        <v>2.5</v>
      </c>
      <c r="L543" s="5">
        <f>INDEX(products!$E$1:$E$49,MATCH($D543,products!$A$1:$A$49,0))</f>
        <v>22.884999999999998</v>
      </c>
      <c r="M543" s="5">
        <f t="shared" si="8"/>
        <v>22.884999999999998</v>
      </c>
      <c r="N543" t="str" cm="1">
        <f t="array" ref="N543">_xlfn.IFS(I543="Rob","Robusta",I543="Exc","Excelsa",I543="Ara","Arabica",I543="Lib","Liberica")</f>
        <v>Arabica</v>
      </c>
      <c r="O543" t="str" cm="1">
        <f t="array" ref="O543">_xlfn.SWITCH($J543,"M","Medium","L","Light","D","Dark")</f>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IF(_xlfn.XLOOKUP(C544,customers!$A$1:$A$1001,customers!$C$1:$C$1001,,0)=0,"Not _Provided",_xlfn.XLOOKUP(C544,customers!$A$1:$A$1001,customers!$C$1:$C$1001,,0))</f>
        <v>zpellettf2@dailymotion.com</v>
      </c>
      <c r="H544" s="2" t="str">
        <f>_xlfn.XLOOKUP(C544,customers!$A$1:$A$1001,customers!$G$1:$G$1001,,0)</f>
        <v>United States</v>
      </c>
      <c r="I544" t="str">
        <f>INDEX(products!$B$1:$B$49,MATCH($D544,products!$A$1:$A$49,0))</f>
        <v>Ara</v>
      </c>
      <c r="J544" t="str">
        <f>INDEX(products!$C$1:$C$49,MATCH($D544,products!$A$1:$A$49,0))</f>
        <v>M</v>
      </c>
      <c r="K544" s="4">
        <f>INDEX(products!$D$1:$D$49,MATCH($D544,products!$A$1:$A$49,0))</f>
        <v>2.5</v>
      </c>
      <c r="L544" s="5">
        <f>INDEX(products!$E$1:$E$49,MATCH($D544,products!$A$1:$A$49,0))</f>
        <v>25.874999999999996</v>
      </c>
      <c r="M544" s="5">
        <f t="shared" si="8"/>
        <v>103.49999999999999</v>
      </c>
      <c r="N544" t="str" cm="1">
        <f t="array" ref="N544">_xlfn.IFS(I544="Rob","Robusta",I544="Exc","Excelsa",I544="Ara","Arabica",I544="Lib","Liberica")</f>
        <v>Arabica</v>
      </c>
      <c r="O544" t="str" cm="1">
        <f t="array" ref="O544">_xlfn.SWITCH($J544,"M","Medium","L","Light","D","Dark")</f>
        <v>Medium</v>
      </c>
      <c r="P544" t="str">
        <f>_xlfn.XLOOKUP(Table1[[#This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IF(_xlfn.XLOOKUP(C545,customers!$A$1:$A$1001,customers!$C$1:$C$1001,,0)=0,"Not _Provided",_xlfn.XLOOKUP(C545,customers!$A$1:$A$1001,customers!$C$1:$C$1001,,0))</f>
        <v>isprakesf3@spiegel.de</v>
      </c>
      <c r="H545" s="2" t="str">
        <f>_xlfn.XLOOKUP(C545,customers!$A$1:$A$1001,customers!$G$1:$G$1001,,0)</f>
        <v>United States</v>
      </c>
      <c r="I545" t="str">
        <f>INDEX(products!$B$1:$B$49,MATCH($D545,products!$A$1:$A$49,0))</f>
        <v>Rob</v>
      </c>
      <c r="J545" t="str">
        <f>INDEX(products!$C$1:$C$49,MATCH($D545,products!$A$1:$A$49,0))</f>
        <v>L</v>
      </c>
      <c r="K545" s="4">
        <f>INDEX(products!$D$1:$D$49,MATCH($D545,products!$A$1:$A$49,0))</f>
        <v>2.5</v>
      </c>
      <c r="L545" s="5">
        <f>INDEX(products!$E$1:$E$49,MATCH($D545,products!$A$1:$A$49,0))</f>
        <v>27.484999999999996</v>
      </c>
      <c r="M545" s="5">
        <f t="shared" si="8"/>
        <v>54.969999999999992</v>
      </c>
      <c r="N545" t="str" cm="1">
        <f t="array" ref="N545">_xlfn.IFS(I545="Rob","Robusta",I545="Exc","Excelsa",I545="Ara","Arabica",I545="Lib","Liberica")</f>
        <v>Robusta</v>
      </c>
      <c r="O545" t="str" cm="1">
        <f t="array" ref="O545">_xlfn.SWITCH($J545,"M","Medium","L","Light","D","Dark")</f>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IF(_xlfn.XLOOKUP(C546,customers!$A$1:$A$1001,customers!$C$1:$C$1001,,0)=0,"Not _Provided",_xlfn.XLOOKUP(C546,customers!$A$1:$A$1001,customers!$C$1:$C$1001,,0))</f>
        <v>hfromantf4@ucsd.edu</v>
      </c>
      <c r="H546" s="2" t="str">
        <f>_xlfn.XLOOKUP(C546,customers!$A$1:$A$1001,customers!$G$1:$G$1001,,0)</f>
        <v>United States</v>
      </c>
      <c r="I546" t="str">
        <f>INDEX(products!$B$1:$B$49,MATCH($D546,products!$A$1:$A$49,0))</f>
        <v>Ara</v>
      </c>
      <c r="J546" t="str">
        <f>INDEX(products!$C$1:$C$49,MATCH($D546,products!$A$1:$A$49,0))</f>
        <v>L</v>
      </c>
      <c r="K546" s="4">
        <f>INDEX(products!$D$1:$D$49,MATCH($D546,products!$A$1:$A$49,0))</f>
        <v>0.5</v>
      </c>
      <c r="L546" s="5">
        <f>INDEX(products!$E$1:$E$49,MATCH($D546,products!$A$1:$A$49,0))</f>
        <v>7.77</v>
      </c>
      <c r="M546" s="5">
        <f t="shared" si="8"/>
        <v>15.54</v>
      </c>
      <c r="N546" t="str" cm="1">
        <f t="array" ref="N546">_xlfn.IFS(I546="Rob","Robusta",I546="Exc","Excelsa",I546="Ara","Arabica",I546="Lib","Liberica")</f>
        <v>Arabica</v>
      </c>
      <c r="O546" t="str" cm="1">
        <f t="array" ref="O546">_xlfn.SWITCH($J546,"M","Medium","L","Light","D","Dark")</f>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IF(_xlfn.XLOOKUP(C547,customers!$A$1:$A$1001,customers!$C$1:$C$1001,,0)=0,"Not _Provided",_xlfn.XLOOKUP(C547,customers!$A$1:$A$1001,customers!$C$1:$C$1001,,0))</f>
        <v>rflearf5@artisteer.com</v>
      </c>
      <c r="H547" s="2" t="str">
        <f>_xlfn.XLOOKUP(C547,customers!$A$1:$A$1001,customers!$G$1:$G$1001,,0)</f>
        <v>United Kingdom</v>
      </c>
      <c r="I547" t="str">
        <f>INDEX(products!$B$1:$B$49,MATCH($D547,products!$A$1:$A$49,0))</f>
        <v>Lib</v>
      </c>
      <c r="J547" t="str">
        <f>INDEX(products!$C$1:$C$49,MATCH($D547,products!$A$1:$A$49,0))</f>
        <v>D</v>
      </c>
      <c r="K547" s="4">
        <f>INDEX(products!$D$1:$D$49,MATCH($D547,products!$A$1:$A$49,0))</f>
        <v>0.2</v>
      </c>
      <c r="L547" s="5">
        <f>INDEX(products!$E$1:$E$49,MATCH($D547,products!$A$1:$A$49,0))</f>
        <v>3.8849999999999998</v>
      </c>
      <c r="M547" s="5">
        <f t="shared" si="8"/>
        <v>15.54</v>
      </c>
      <c r="N547" t="str" cm="1">
        <f t="array" ref="N547">_xlfn.IFS(I547="Rob","Robusta",I547="Exc","Excelsa",I547="Ara","Arabica",I547="Lib","Liberica")</f>
        <v>Liberica</v>
      </c>
      <c r="O547" t="str" cm="1">
        <f t="array" ref="O547">_xlfn.SWITCH($J547,"M","Medium","L","Light","D","Dark")</f>
        <v>Dark</v>
      </c>
      <c r="P547" t="str">
        <f>_xlfn.XLOOKUP(Table1[[#This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IF(_xlfn.XLOOKUP(C548,customers!$A$1:$A$1001,customers!$C$1:$C$1001,,0)=0,"Not _Provided",_xlfn.XLOOKUP(C548,customers!$A$1:$A$1001,customers!$C$1:$C$1001,,0))</f>
        <v>Not _Provided</v>
      </c>
      <c r="H548" s="2" t="str">
        <f>_xlfn.XLOOKUP(C548,customers!$A$1:$A$1001,customers!$G$1:$G$1001,,0)</f>
        <v>Ireland</v>
      </c>
      <c r="I548" t="str">
        <f>INDEX(products!$B$1:$B$49,MATCH($D548,products!$A$1:$A$49,0))</f>
        <v>Exc</v>
      </c>
      <c r="J548" t="str">
        <f>INDEX(products!$C$1:$C$49,MATCH($D548,products!$A$1:$A$49,0))</f>
        <v>D</v>
      </c>
      <c r="K548" s="4">
        <f>INDEX(products!$D$1:$D$49,MATCH($D548,products!$A$1:$A$49,0))</f>
        <v>2.5</v>
      </c>
      <c r="L548" s="5">
        <f>INDEX(products!$E$1:$E$49,MATCH($D548,products!$A$1:$A$49,0))</f>
        <v>27.945</v>
      </c>
      <c r="M548" s="5">
        <f t="shared" si="8"/>
        <v>83.835000000000008</v>
      </c>
      <c r="N548" t="str" cm="1">
        <f t="array" ref="N548">_xlfn.IFS(I548="Rob","Robusta",I548="Exc","Excelsa",I548="Ara","Arabica",I548="Lib","Liberica")</f>
        <v>Excelsa</v>
      </c>
      <c r="O548" t="str" cm="1">
        <f t="array" ref="O548">_xlfn.SWITCH($J548,"M","Medium","L","Light","D","Dark")</f>
        <v>Dark</v>
      </c>
      <c r="P548" t="str">
        <f>_xlfn.XLOOKUP(Table1[[#This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IF(_xlfn.XLOOKUP(C549,customers!$A$1:$A$1001,customers!$C$1:$C$1001,,0)=0,"Not _Provided",_xlfn.XLOOKUP(C549,customers!$A$1:$A$1001,customers!$C$1:$C$1001,,0))</f>
        <v>wlightollersf9@baidu.com</v>
      </c>
      <c r="H549" s="2" t="str">
        <f>_xlfn.XLOOKUP(C549,customers!$A$1:$A$1001,customers!$G$1:$G$1001,,0)</f>
        <v>United States</v>
      </c>
      <c r="I549" t="str">
        <f>INDEX(products!$B$1:$B$49,MATCH($D549,products!$A$1:$A$49,0))</f>
        <v>Rob</v>
      </c>
      <c r="J549" t="str">
        <f>INDEX(products!$C$1:$C$49,MATCH($D549,products!$A$1:$A$49,0))</f>
        <v>L</v>
      </c>
      <c r="K549" s="4">
        <f>INDEX(products!$D$1:$D$49,MATCH($D549,products!$A$1:$A$49,0))</f>
        <v>0.2</v>
      </c>
      <c r="L549" s="5">
        <f>INDEX(products!$E$1:$E$49,MATCH($D549,products!$A$1:$A$49,0))</f>
        <v>3.5849999999999995</v>
      </c>
      <c r="M549" s="5">
        <f t="shared" si="8"/>
        <v>10.754999999999999</v>
      </c>
      <c r="N549" t="str" cm="1">
        <f t="array" ref="N549">_xlfn.IFS(I549="Rob","Robusta",I549="Exc","Excelsa",I549="Ara","Arabica",I549="Lib","Liberica")</f>
        <v>Robusta</v>
      </c>
      <c r="O549" t="str" cm="1">
        <f t="array" ref="O549">_xlfn.SWITCH($J549,"M","Medium","L","Light","D","Dark")</f>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IF(_xlfn.XLOOKUP(C550,customers!$A$1:$A$1001,customers!$C$1:$C$1001,,0)=0,"Not _Provided",_xlfn.XLOOKUP(C550,customers!$A$1:$A$1001,customers!$C$1:$C$1001,,0))</f>
        <v>bmundenf8@elpais.com</v>
      </c>
      <c r="H550" s="2" t="str">
        <f>_xlfn.XLOOKUP(C550,customers!$A$1:$A$1001,customers!$G$1:$G$1001,,0)</f>
        <v>United States</v>
      </c>
      <c r="I550" t="str">
        <f>INDEX(products!$B$1:$B$49,MATCH($D550,products!$A$1:$A$49,0))</f>
        <v>Exc</v>
      </c>
      <c r="J550" t="str">
        <f>INDEX(products!$C$1:$C$49,MATCH($D550,products!$A$1:$A$49,0))</f>
        <v>L</v>
      </c>
      <c r="K550" s="4">
        <f>INDEX(products!$D$1:$D$49,MATCH($D550,products!$A$1:$A$49,0))</f>
        <v>0.2</v>
      </c>
      <c r="L550" s="5">
        <f>INDEX(products!$E$1:$E$49,MATCH($D550,products!$A$1:$A$49,0))</f>
        <v>4.4550000000000001</v>
      </c>
      <c r="M550" s="5">
        <f t="shared" si="8"/>
        <v>13.365</v>
      </c>
      <c r="N550" t="str" cm="1">
        <f t="array" ref="N550">_xlfn.IFS(I550="Rob","Robusta",I550="Exc","Excelsa",I550="Ara","Arabica",I550="Lib","Liberica")</f>
        <v>Excelsa</v>
      </c>
      <c r="O550" t="str" cm="1">
        <f t="array" ref="O550">_xlfn.SWITCH($J550,"M","Medium","L","Light","D","Dark")</f>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IF(_xlfn.XLOOKUP(C551,customers!$A$1:$A$1001,customers!$C$1:$C$1001,,0)=0,"Not _Provided",_xlfn.XLOOKUP(C551,customers!$A$1:$A$1001,customers!$C$1:$C$1001,,0))</f>
        <v>wlightollersf9@baidu.com</v>
      </c>
      <c r="H551" s="2" t="str">
        <f>_xlfn.XLOOKUP(C551,customers!$A$1:$A$1001,customers!$G$1:$G$1001,,0)</f>
        <v>United States</v>
      </c>
      <c r="I551" t="str">
        <f>INDEX(products!$B$1:$B$49,MATCH($D551,products!$A$1:$A$49,0))</f>
        <v>Exc</v>
      </c>
      <c r="J551" t="str">
        <f>INDEX(products!$C$1:$C$49,MATCH($D551,products!$A$1:$A$49,0))</f>
        <v>L</v>
      </c>
      <c r="K551" s="4">
        <f>INDEX(products!$D$1:$D$49,MATCH($D551,products!$A$1:$A$49,0))</f>
        <v>0.2</v>
      </c>
      <c r="L551" s="5">
        <f>INDEX(products!$E$1:$E$49,MATCH($D551,products!$A$1:$A$49,0))</f>
        <v>4.4550000000000001</v>
      </c>
      <c r="M551" s="5">
        <f t="shared" si="8"/>
        <v>17.82</v>
      </c>
      <c r="N551" t="str" cm="1">
        <f t="array" ref="N551">_xlfn.IFS(I551="Rob","Robusta",I551="Exc","Excelsa",I551="Ara","Arabica",I551="Lib","Liberica")</f>
        <v>Excelsa</v>
      </c>
      <c r="O551" t="str" cm="1">
        <f t="array" ref="O551">_xlfn.SWITCH($J551,"M","Medium","L","Light","D","Dark")</f>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IF(_xlfn.XLOOKUP(C552,customers!$A$1:$A$1001,customers!$C$1:$C$1001,,0)=0,"Not _Provided",_xlfn.XLOOKUP(C552,customers!$A$1:$A$1001,customers!$C$1:$C$1001,,0))</f>
        <v>nbrakespearfa@rediff.com</v>
      </c>
      <c r="H552" s="2" t="str">
        <f>_xlfn.XLOOKUP(C552,customers!$A$1:$A$1001,customers!$G$1:$G$1001,,0)</f>
        <v>United States</v>
      </c>
      <c r="I552" t="str">
        <f>INDEX(products!$B$1:$B$49,MATCH($D552,products!$A$1:$A$49,0))</f>
        <v>Lib</v>
      </c>
      <c r="J552" t="str">
        <f>INDEX(products!$C$1:$C$49,MATCH($D552,products!$A$1:$A$49,0))</f>
        <v>D</v>
      </c>
      <c r="K552" s="4">
        <f>INDEX(products!$D$1:$D$49,MATCH($D552,products!$A$1:$A$49,0))</f>
        <v>0.2</v>
      </c>
      <c r="L552" s="5">
        <f>INDEX(products!$E$1:$E$49,MATCH($D552,products!$A$1:$A$49,0))</f>
        <v>3.8849999999999998</v>
      </c>
      <c r="M552" s="5">
        <f t="shared" si="8"/>
        <v>23.31</v>
      </c>
      <c r="N552" t="str" cm="1">
        <f t="array" ref="N552">_xlfn.IFS(I552="Rob","Robusta",I552="Exc","Excelsa",I552="Ara","Arabica",I552="Lib","Liberica")</f>
        <v>Liberica</v>
      </c>
      <c r="O552" t="str" cm="1">
        <f t="array" ref="O552">_xlfn.SWITCH($J552,"M","Medium","L","Light","D","Dark")</f>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IF(_xlfn.XLOOKUP(C553,customers!$A$1:$A$1001,customers!$C$1:$C$1001,,0)=0,"Not _Provided",_xlfn.XLOOKUP(C553,customers!$A$1:$A$1001,customers!$C$1:$C$1001,,0))</f>
        <v>mglawsopfb@reverbnation.com</v>
      </c>
      <c r="H553" s="2" t="str">
        <f>_xlfn.XLOOKUP(C553,customers!$A$1:$A$1001,customers!$G$1:$G$1001,,0)</f>
        <v>United States</v>
      </c>
      <c r="I553" t="str">
        <f>INDEX(products!$B$1:$B$49,MATCH($D553,products!$A$1:$A$49,0))</f>
        <v>Exc</v>
      </c>
      <c r="J553" t="str">
        <f>INDEX(products!$C$1:$C$49,MATCH($D553,products!$A$1:$A$49,0))</f>
        <v>D</v>
      </c>
      <c r="K553" s="4">
        <f>INDEX(products!$D$1:$D$49,MATCH($D553,products!$A$1:$A$49,0))</f>
        <v>0.2</v>
      </c>
      <c r="L553" s="5">
        <f>INDEX(products!$E$1:$E$49,MATCH($D553,products!$A$1:$A$49,0))</f>
        <v>3.645</v>
      </c>
      <c r="M553" s="5">
        <f t="shared" si="8"/>
        <v>7.29</v>
      </c>
      <c r="N553" t="str" cm="1">
        <f t="array" ref="N553">_xlfn.IFS(I553="Rob","Robusta",I553="Exc","Excelsa",I553="Ara","Arabica",I553="Lib","Liberica")</f>
        <v>Excelsa</v>
      </c>
      <c r="O553" t="str" cm="1">
        <f t="array" ref="O553">_xlfn.SWITCH($J553,"M","Medium","L","Light","D","Dark")</f>
        <v>Dark</v>
      </c>
      <c r="P553" t="str">
        <f>_xlfn.XLOOKUP(Table1[[#This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IF(_xlfn.XLOOKUP(C554,customers!$A$1:$A$1001,customers!$C$1:$C$1001,,0)=0,"Not _Provided",_xlfn.XLOOKUP(C554,customers!$A$1:$A$1001,customers!$C$1:$C$1001,,0))</f>
        <v>galbertsfc@etsy.com</v>
      </c>
      <c r="H554" s="2" t="str">
        <f>_xlfn.XLOOKUP(C554,customers!$A$1:$A$1001,customers!$G$1:$G$1001,,0)</f>
        <v>United Kingdom</v>
      </c>
      <c r="I554" t="str">
        <f>INDEX(products!$B$1:$B$49,MATCH($D554,products!$A$1:$A$49,0))</f>
        <v>Exc</v>
      </c>
      <c r="J554" t="str">
        <f>INDEX(products!$C$1:$C$49,MATCH($D554,products!$A$1:$A$49,0))</f>
        <v>L</v>
      </c>
      <c r="K554" s="4">
        <f>INDEX(products!$D$1:$D$49,MATCH($D554,products!$A$1:$A$49,0))</f>
        <v>0.2</v>
      </c>
      <c r="L554" s="5">
        <f>INDEX(products!$E$1:$E$49,MATCH($D554,products!$A$1:$A$49,0))</f>
        <v>4.4550000000000001</v>
      </c>
      <c r="M554" s="5">
        <f t="shared" si="8"/>
        <v>17.82</v>
      </c>
      <c r="N554" t="str" cm="1">
        <f t="array" ref="N554">_xlfn.IFS(I554="Rob","Robusta",I554="Exc","Excelsa",I554="Ara","Arabica",I554="Lib","Liberica")</f>
        <v>Excelsa</v>
      </c>
      <c r="O554" t="str" cm="1">
        <f t="array" ref="O554">_xlfn.SWITCH($J554,"M","Medium","L","Light","D","Dark")</f>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IF(_xlfn.XLOOKUP(C555,customers!$A$1:$A$1001,customers!$C$1:$C$1001,,0)=0,"Not _Provided",_xlfn.XLOOKUP(C555,customers!$A$1:$A$1001,customers!$C$1:$C$1001,,0))</f>
        <v>vpolglasefd@about.me</v>
      </c>
      <c r="H555" s="2" t="str">
        <f>_xlfn.XLOOKUP(C555,customers!$A$1:$A$1001,customers!$G$1:$G$1001,,0)</f>
        <v>United States</v>
      </c>
      <c r="I555" t="str">
        <f>INDEX(products!$B$1:$B$49,MATCH($D555,products!$A$1:$A$49,0))</f>
        <v>Exc</v>
      </c>
      <c r="J555" t="str">
        <f>INDEX(products!$C$1:$C$49,MATCH($D555,products!$A$1:$A$49,0))</f>
        <v>M</v>
      </c>
      <c r="K555" s="4">
        <f>INDEX(products!$D$1:$D$49,MATCH($D555,products!$A$1:$A$49,0))</f>
        <v>1</v>
      </c>
      <c r="L555" s="5">
        <f>INDEX(products!$E$1:$E$49,MATCH($D555,products!$A$1:$A$49,0))</f>
        <v>13.75</v>
      </c>
      <c r="M555" s="5">
        <f t="shared" si="8"/>
        <v>68.75</v>
      </c>
      <c r="N555" t="str" cm="1">
        <f t="array" ref="N555">_xlfn.IFS(I555="Rob","Robusta",I555="Exc","Excelsa",I555="Ara","Arabica",I555="Lib","Liberica")</f>
        <v>Excelsa</v>
      </c>
      <c r="O555" t="str" cm="1">
        <f t="array" ref="O555">_xlfn.SWITCH($J555,"M","Medium","L","Light","D","Dark")</f>
        <v>Medium</v>
      </c>
      <c r="P555" t="str">
        <f>_xlfn.XLOOKUP(Table1[[#This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IF(_xlfn.XLOOKUP(C556,customers!$A$1:$A$1001,customers!$C$1:$C$1001,,0)=0,"Not _Provided",_xlfn.XLOOKUP(C556,customers!$A$1:$A$1001,customers!$C$1:$C$1001,,0))</f>
        <v>Not _Provided</v>
      </c>
      <c r="H556" s="2" t="str">
        <f>_xlfn.XLOOKUP(C556,customers!$A$1:$A$1001,customers!$G$1:$G$1001,,0)</f>
        <v>United Kingdom</v>
      </c>
      <c r="I556" t="str">
        <f>INDEX(products!$B$1:$B$49,MATCH($D556,products!$A$1:$A$49,0))</f>
        <v>Rob</v>
      </c>
      <c r="J556" t="str">
        <f>INDEX(products!$C$1:$C$49,MATCH($D556,products!$A$1:$A$49,0))</f>
        <v>L</v>
      </c>
      <c r="K556" s="4">
        <f>INDEX(products!$D$1:$D$49,MATCH($D556,products!$A$1:$A$49,0))</f>
        <v>2.5</v>
      </c>
      <c r="L556" s="5">
        <f>INDEX(products!$E$1:$E$49,MATCH($D556,products!$A$1:$A$49,0))</f>
        <v>27.484999999999996</v>
      </c>
      <c r="M556" s="5">
        <f t="shared" si="8"/>
        <v>54.969999999999992</v>
      </c>
      <c r="N556" t="str" cm="1">
        <f t="array" ref="N556">_xlfn.IFS(I556="Rob","Robusta",I556="Exc","Excelsa",I556="Ara","Arabica",I556="Lib","Liberica")</f>
        <v>Robusta</v>
      </c>
      <c r="O556" t="str" cm="1">
        <f t="array" ref="O556">_xlfn.SWITCH($J556,"M","Medium","L","Light","D","Dark")</f>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IF(_xlfn.XLOOKUP(C557,customers!$A$1:$A$1001,customers!$C$1:$C$1001,,0)=0,"Not _Provided",_xlfn.XLOOKUP(C557,customers!$A$1:$A$1001,customers!$C$1:$C$1001,,0))</f>
        <v>sbuschff@so-net.ne.jp</v>
      </c>
      <c r="H557" s="2" t="str">
        <f>_xlfn.XLOOKUP(C557,customers!$A$1:$A$1001,customers!$G$1:$G$1001,,0)</f>
        <v>Ireland</v>
      </c>
      <c r="I557" t="str">
        <f>INDEX(products!$B$1:$B$49,MATCH($D557,products!$A$1:$A$49,0))</f>
        <v>Exc</v>
      </c>
      <c r="J557" t="str">
        <f>INDEX(products!$C$1:$C$49,MATCH($D557,products!$A$1:$A$49,0))</f>
        <v>M</v>
      </c>
      <c r="K557" s="4">
        <f>INDEX(products!$D$1:$D$49,MATCH($D557,products!$A$1:$A$49,0))</f>
        <v>1</v>
      </c>
      <c r="L557" s="5">
        <f>INDEX(products!$E$1:$E$49,MATCH($D557,products!$A$1:$A$49,0))</f>
        <v>13.75</v>
      </c>
      <c r="M557" s="5">
        <f t="shared" si="8"/>
        <v>82.5</v>
      </c>
      <c r="N557" t="str" cm="1">
        <f t="array" ref="N557">_xlfn.IFS(I557="Rob","Robusta",I557="Exc","Excelsa",I557="Ara","Arabica",I557="Lib","Liberica")</f>
        <v>Excelsa</v>
      </c>
      <c r="O557" t="str" cm="1">
        <f t="array" ref="O557">_xlfn.SWITCH($J557,"M","Medium","L","Light","D","Dark")</f>
        <v>Medium</v>
      </c>
      <c r="P557" t="str">
        <f>_xlfn.XLOOKUP(Table1[[#This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IF(_xlfn.XLOOKUP(C558,customers!$A$1:$A$1001,customers!$C$1:$C$1001,,0)=0,"Not _Provided",_xlfn.XLOOKUP(C558,customers!$A$1:$A$1001,customers!$C$1:$C$1001,,0))</f>
        <v>craisbeckfg@webnode.com</v>
      </c>
      <c r="H558" s="2" t="str">
        <f>_xlfn.XLOOKUP(C558,customers!$A$1:$A$1001,customers!$G$1:$G$1001,,0)</f>
        <v>United States</v>
      </c>
      <c r="I558" t="str">
        <f>INDEX(products!$B$1:$B$49,MATCH($D558,products!$A$1:$A$49,0))</f>
        <v>Lib</v>
      </c>
      <c r="J558" t="str">
        <f>INDEX(products!$C$1:$C$49,MATCH($D558,products!$A$1:$A$49,0))</f>
        <v>M</v>
      </c>
      <c r="K558" s="4">
        <f>INDEX(products!$D$1:$D$49,MATCH($D558,products!$A$1:$A$49,0))</f>
        <v>0.2</v>
      </c>
      <c r="L558" s="5">
        <f>INDEX(products!$E$1:$E$49,MATCH($D558,products!$A$1:$A$49,0))</f>
        <v>4.3650000000000002</v>
      </c>
      <c r="M558" s="5">
        <f t="shared" si="8"/>
        <v>8.73</v>
      </c>
      <c r="N558" t="str" cm="1">
        <f t="array" ref="N558">_xlfn.IFS(I558="Rob","Robusta",I558="Exc","Excelsa",I558="Ara","Arabica",I558="Lib","Liberica")</f>
        <v>Liberica</v>
      </c>
      <c r="O558" t="str" cm="1">
        <f t="array" ref="O558">_xlfn.SWITCH($J558,"M","Medium","L","Light","D","Dark")</f>
        <v>Medium</v>
      </c>
      <c r="P558" t="str">
        <f>_xlfn.XLOOKUP(Table1[[#This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IF(_xlfn.XLOOKUP(C559,customers!$A$1:$A$1001,customers!$C$1:$C$1001,,0)=0,"Not _Provided",_xlfn.XLOOKUP(C559,customers!$A$1:$A$1001,customers!$C$1:$C$1001,,0))</f>
        <v>murione5@alexa.com</v>
      </c>
      <c r="H559" s="2" t="str">
        <f>_xlfn.XLOOKUP(C559,customers!$A$1:$A$1001,customers!$G$1:$G$1001,,0)</f>
        <v>Ireland</v>
      </c>
      <c r="I559" t="str">
        <f>INDEX(products!$B$1:$B$49,MATCH($D559,products!$A$1:$A$49,0))</f>
        <v>Exc</v>
      </c>
      <c r="J559" t="str">
        <f>INDEX(products!$C$1:$C$49,MATCH($D559,products!$A$1:$A$49,0))</f>
        <v>L</v>
      </c>
      <c r="K559" s="4">
        <f>INDEX(products!$D$1:$D$49,MATCH($D559,products!$A$1:$A$49,0))</f>
        <v>1</v>
      </c>
      <c r="L559" s="5">
        <f>INDEX(products!$E$1:$E$49,MATCH($D559,products!$A$1:$A$49,0))</f>
        <v>14.85</v>
      </c>
      <c r="M559" s="5">
        <f t="shared" si="8"/>
        <v>59.4</v>
      </c>
      <c r="N559" t="str" cm="1">
        <f t="array" ref="N559">_xlfn.IFS(I559="Rob","Robusta",I559="Exc","Excelsa",I559="Ara","Arabica",I559="Lib","Liberica")</f>
        <v>Excelsa</v>
      </c>
      <c r="O559" t="str" cm="1">
        <f t="array" ref="O559">_xlfn.SWITCH($J559,"M","Medium","L","Light","D","Dark")</f>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IF(_xlfn.XLOOKUP(C560,customers!$A$1:$A$1001,customers!$C$1:$C$1001,,0)=0,"Not _Provided",_xlfn.XLOOKUP(C560,customers!$A$1:$A$1001,customers!$C$1:$C$1001,,0))</f>
        <v>Not _Provided</v>
      </c>
      <c r="H560" s="2" t="str">
        <f>_xlfn.XLOOKUP(C560,customers!$A$1:$A$1001,customers!$G$1:$G$1001,,0)</f>
        <v>United States</v>
      </c>
      <c r="I560" t="str">
        <f>INDEX(products!$B$1:$B$49,MATCH($D560,products!$A$1:$A$49,0))</f>
        <v>Lib</v>
      </c>
      <c r="J560" t="str">
        <f>INDEX(products!$C$1:$C$49,MATCH($D560,products!$A$1:$A$49,0))</f>
        <v>D</v>
      </c>
      <c r="K560" s="4">
        <f>INDEX(products!$D$1:$D$49,MATCH($D560,products!$A$1:$A$49,0))</f>
        <v>0.2</v>
      </c>
      <c r="L560" s="5">
        <f>INDEX(products!$E$1:$E$49,MATCH($D560,products!$A$1:$A$49,0))</f>
        <v>3.8849999999999998</v>
      </c>
      <c r="M560" s="5">
        <f t="shared" si="8"/>
        <v>15.54</v>
      </c>
      <c r="N560" t="str" cm="1">
        <f t="array" ref="N560">_xlfn.IFS(I560="Rob","Robusta",I560="Exc","Excelsa",I560="Ara","Arabica",I560="Lib","Liberica")</f>
        <v>Liberica</v>
      </c>
      <c r="O560" t="str" cm="1">
        <f t="array" ref="O560">_xlfn.SWITCH($J560,"M","Medium","L","Light","D","Dark")</f>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IF(_xlfn.XLOOKUP(C561,customers!$A$1:$A$1001,customers!$C$1:$C$1001,,0)=0,"Not _Provided",_xlfn.XLOOKUP(C561,customers!$A$1:$A$1001,customers!$C$1:$C$1001,,0))</f>
        <v>raynoldfj@ustream.tv</v>
      </c>
      <c r="H561" s="2" t="str">
        <f>_xlfn.XLOOKUP(C561,customers!$A$1:$A$1001,customers!$G$1:$G$1001,,0)</f>
        <v>United States</v>
      </c>
      <c r="I561" t="str">
        <f>INDEX(products!$B$1:$B$49,MATCH($D561,products!$A$1:$A$49,0))</f>
        <v>Ara</v>
      </c>
      <c r="J561" t="str">
        <f>INDEX(products!$C$1:$C$49,MATCH($D561,products!$A$1:$A$49,0))</f>
        <v>L</v>
      </c>
      <c r="K561" s="4">
        <f>INDEX(products!$D$1:$D$49,MATCH($D561,products!$A$1:$A$49,0))</f>
        <v>1</v>
      </c>
      <c r="L561" s="5">
        <f>INDEX(products!$E$1:$E$49,MATCH($D561,products!$A$1:$A$49,0))</f>
        <v>12.95</v>
      </c>
      <c r="M561" s="5">
        <f t="shared" si="8"/>
        <v>38.849999999999994</v>
      </c>
      <c r="N561" t="str" cm="1">
        <f t="array" ref="N561">_xlfn.IFS(I561="Rob","Robusta",I561="Exc","Excelsa",I561="Ara","Arabica",I561="Lib","Liberica")</f>
        <v>Arabica</v>
      </c>
      <c r="O561" t="str" cm="1">
        <f t="array" ref="O561">_xlfn.SWITCH($J561,"M","Medium","L","Light","D","Dark")</f>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IF(_xlfn.XLOOKUP(C562,customers!$A$1:$A$1001,customers!$C$1:$C$1001,,0)=0,"Not _Provided",_xlfn.XLOOKUP(C562,customers!$A$1:$A$1001,customers!$C$1:$C$1001,,0))</f>
        <v>Not _Provided</v>
      </c>
      <c r="H562" s="2" t="str">
        <f>_xlfn.XLOOKUP(C562,customers!$A$1:$A$1001,customers!$G$1:$G$1001,,0)</f>
        <v>United States</v>
      </c>
      <c r="I562" t="str">
        <f>INDEX(products!$B$1:$B$49,MATCH($D562,products!$A$1:$A$49,0))</f>
        <v>Exc</v>
      </c>
      <c r="J562" t="str">
        <f>INDEX(products!$C$1:$C$49,MATCH($D562,products!$A$1:$A$49,0))</f>
        <v>M</v>
      </c>
      <c r="K562" s="4">
        <f>INDEX(products!$D$1:$D$49,MATCH($D562,products!$A$1:$A$49,0))</f>
        <v>2.5</v>
      </c>
      <c r="L562" s="5">
        <f>INDEX(products!$E$1:$E$49,MATCH($D562,products!$A$1:$A$49,0))</f>
        <v>31.624999999999996</v>
      </c>
      <c r="M562" s="5">
        <f t="shared" si="8"/>
        <v>189.74999999999997</v>
      </c>
      <c r="N562" t="str" cm="1">
        <f t="array" ref="N562">_xlfn.IFS(I562="Rob","Robusta",I562="Exc","Excelsa",I562="Ara","Arabica",I562="Lib","Liberica")</f>
        <v>Excelsa</v>
      </c>
      <c r="O562" t="str" cm="1">
        <f t="array" ref="O562">_xlfn.SWITCH($J562,"M","Medium","L","Light","D","Dark")</f>
        <v>Medium</v>
      </c>
      <c r="P562" t="str">
        <f>_xlfn.XLOOKUP(Table1[[#This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IF(_xlfn.XLOOKUP(C563,customers!$A$1:$A$1001,customers!$C$1:$C$1001,,0)=0,"Not _Provided",_xlfn.XLOOKUP(C563,customers!$A$1:$A$1001,customers!$C$1:$C$1001,,0))</f>
        <v>Not _Provided</v>
      </c>
      <c r="H563" s="2" t="str">
        <f>_xlfn.XLOOKUP(C563,customers!$A$1:$A$1001,customers!$G$1:$G$1001,,0)</f>
        <v>Ireland</v>
      </c>
      <c r="I563" t="str">
        <f>INDEX(products!$B$1:$B$49,MATCH($D563,products!$A$1:$A$49,0))</f>
        <v>Ara</v>
      </c>
      <c r="J563" t="str">
        <f>INDEX(products!$C$1:$C$49,MATCH($D563,products!$A$1:$A$49,0))</f>
        <v>D</v>
      </c>
      <c r="K563" s="4">
        <f>INDEX(products!$D$1:$D$49,MATCH($D563,products!$A$1:$A$49,0))</f>
        <v>0.2</v>
      </c>
      <c r="L563" s="5">
        <f>INDEX(products!$E$1:$E$49,MATCH($D563,products!$A$1:$A$49,0))</f>
        <v>2.9849999999999999</v>
      </c>
      <c r="M563" s="5">
        <f t="shared" si="8"/>
        <v>17.91</v>
      </c>
      <c r="N563" t="str" cm="1">
        <f t="array" ref="N563">_xlfn.IFS(I563="Rob","Robusta",I563="Exc","Excelsa",I563="Ara","Arabica",I563="Lib","Liberica")</f>
        <v>Arabica</v>
      </c>
      <c r="O563" t="str" cm="1">
        <f t="array" ref="O563">_xlfn.SWITCH($J563,"M","Medium","L","Light","D","Dark")</f>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IF(_xlfn.XLOOKUP(C564,customers!$A$1:$A$1001,customers!$C$1:$C$1001,,0)=0,"Not _Provided",_xlfn.XLOOKUP(C564,customers!$A$1:$A$1001,customers!$C$1:$C$1001,,0))</f>
        <v>bgrecefm@naver.com</v>
      </c>
      <c r="H564" s="2" t="str">
        <f>_xlfn.XLOOKUP(C564,customers!$A$1:$A$1001,customers!$G$1:$G$1001,,0)</f>
        <v>United Kingdom</v>
      </c>
      <c r="I564" t="str">
        <f>INDEX(products!$B$1:$B$49,MATCH($D564,products!$A$1:$A$49,0))</f>
        <v>Lib</v>
      </c>
      <c r="J564" t="str">
        <f>INDEX(products!$C$1:$C$49,MATCH($D564,products!$A$1:$A$49,0))</f>
        <v>L</v>
      </c>
      <c r="K564" s="4">
        <f>INDEX(products!$D$1:$D$49,MATCH($D564,products!$A$1:$A$49,0))</f>
        <v>0.2</v>
      </c>
      <c r="L564" s="5">
        <f>INDEX(products!$E$1:$E$49,MATCH($D564,products!$A$1:$A$49,0))</f>
        <v>4.7549999999999999</v>
      </c>
      <c r="M564" s="5">
        <f t="shared" si="8"/>
        <v>28.53</v>
      </c>
      <c r="N564" t="str" cm="1">
        <f t="array" ref="N564">_xlfn.IFS(I564="Rob","Robusta",I564="Exc","Excelsa",I564="Ara","Arabica",I564="Lib","Liberica")</f>
        <v>Liberica</v>
      </c>
      <c r="O564" t="str" cm="1">
        <f t="array" ref="O564">_xlfn.SWITCH($J564,"M","Medium","L","Light","D","Dark")</f>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IF(_xlfn.XLOOKUP(C565,customers!$A$1:$A$1001,customers!$C$1:$C$1001,,0)=0,"Not _Provided",_xlfn.XLOOKUP(C565,customers!$A$1:$A$1001,customers!$C$1:$C$1001,,0))</f>
        <v>dflintiffg1@e-recht24.de</v>
      </c>
      <c r="H565" s="2" t="str">
        <f>_xlfn.XLOOKUP(C565,customers!$A$1:$A$1001,customers!$G$1:$G$1001,,0)</f>
        <v>United Kingdom</v>
      </c>
      <c r="I565" t="str">
        <f>INDEX(products!$B$1:$B$49,MATCH($D565,products!$A$1:$A$49,0))</f>
        <v>Exc</v>
      </c>
      <c r="J565" t="str">
        <f>INDEX(products!$C$1:$C$49,MATCH($D565,products!$A$1:$A$49,0))</f>
        <v>M</v>
      </c>
      <c r="K565" s="4">
        <f>INDEX(products!$D$1:$D$49,MATCH($D565,products!$A$1:$A$49,0))</f>
        <v>1</v>
      </c>
      <c r="L565" s="5">
        <f>INDEX(products!$E$1:$E$49,MATCH($D565,products!$A$1:$A$49,0))</f>
        <v>13.75</v>
      </c>
      <c r="M565" s="5">
        <f t="shared" si="8"/>
        <v>82.5</v>
      </c>
      <c r="N565" t="str" cm="1">
        <f t="array" ref="N565">_xlfn.IFS(I565="Rob","Robusta",I565="Exc","Excelsa",I565="Ara","Arabica",I565="Lib","Liberica")</f>
        <v>Excelsa</v>
      </c>
      <c r="O565" t="str" cm="1">
        <f t="array" ref="O565">_xlfn.SWITCH($J565,"M","Medium","L","Light","D","Dark")</f>
        <v>Medium</v>
      </c>
      <c r="P565" t="str">
        <f>_xlfn.XLOOKUP(Table1[[#This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IF(_xlfn.XLOOKUP(C566,customers!$A$1:$A$1001,customers!$C$1:$C$1001,,0)=0,"Not _Provided",_xlfn.XLOOKUP(C566,customers!$A$1:$A$1001,customers!$C$1:$C$1001,,0))</f>
        <v>athysfo@cdc.gov</v>
      </c>
      <c r="H566" s="2" t="str">
        <f>_xlfn.XLOOKUP(C566,customers!$A$1:$A$1001,customers!$G$1:$G$1001,,0)</f>
        <v>United States</v>
      </c>
      <c r="I566" t="str">
        <f>INDEX(products!$B$1:$B$49,MATCH($D566,products!$A$1:$A$49,0))</f>
        <v>Rob</v>
      </c>
      <c r="J566" t="str">
        <f>INDEX(products!$C$1:$C$49,MATCH($D566,products!$A$1:$A$49,0))</f>
        <v>L</v>
      </c>
      <c r="K566" s="4">
        <f>INDEX(products!$D$1:$D$49,MATCH($D566,products!$A$1:$A$49,0))</f>
        <v>0.5</v>
      </c>
      <c r="L566" s="5">
        <f>INDEX(products!$E$1:$E$49,MATCH($D566,products!$A$1:$A$49,0))</f>
        <v>7.169999999999999</v>
      </c>
      <c r="M566" s="5">
        <f t="shared" si="8"/>
        <v>14.339999999999998</v>
      </c>
      <c r="N566" t="str" cm="1">
        <f t="array" ref="N566">_xlfn.IFS(I566="Rob","Robusta",I566="Exc","Excelsa",I566="Ara","Arabica",I566="Lib","Liberica")</f>
        <v>Robusta</v>
      </c>
      <c r="O566" t="str" cm="1">
        <f t="array" ref="O566">_xlfn.SWITCH($J566,"M","Medium","L","Light","D","Dark")</f>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IF(_xlfn.XLOOKUP(C567,customers!$A$1:$A$1001,customers!$C$1:$C$1001,,0)=0,"Not _Provided",_xlfn.XLOOKUP(C567,customers!$A$1:$A$1001,customers!$C$1:$C$1001,,0))</f>
        <v>jchuggfp@about.me</v>
      </c>
      <c r="H567" s="2" t="str">
        <f>_xlfn.XLOOKUP(C567,customers!$A$1:$A$1001,customers!$G$1:$G$1001,,0)</f>
        <v>United States</v>
      </c>
      <c r="I567" t="str">
        <f>INDEX(products!$B$1:$B$49,MATCH($D567,products!$A$1:$A$49,0))</f>
        <v>Rob</v>
      </c>
      <c r="J567" t="str">
        <f>INDEX(products!$C$1:$C$49,MATCH($D567,products!$A$1:$A$49,0))</f>
        <v>D</v>
      </c>
      <c r="K567" s="4">
        <f>INDEX(products!$D$1:$D$49,MATCH($D567,products!$A$1:$A$49,0))</f>
        <v>2.5</v>
      </c>
      <c r="L567" s="5">
        <f>INDEX(products!$E$1:$E$49,MATCH($D567,products!$A$1:$A$49,0))</f>
        <v>20.584999999999997</v>
      </c>
      <c r="M567" s="5">
        <f t="shared" si="8"/>
        <v>82.339999999999989</v>
      </c>
      <c r="N567" t="str" cm="1">
        <f t="array" ref="N567">_xlfn.IFS(I567="Rob","Robusta",I567="Exc","Excelsa",I567="Ara","Arabica",I567="Lib","Liberica")</f>
        <v>Robusta</v>
      </c>
      <c r="O567" t="str" cm="1">
        <f t="array" ref="O567">_xlfn.SWITCH($J567,"M","Medium","L","Light","D","Dark")</f>
        <v>Dark</v>
      </c>
      <c r="P567" t="str">
        <f>_xlfn.XLOOKUP(Table1[[#This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IF(_xlfn.XLOOKUP(C568,customers!$A$1:$A$1001,customers!$C$1:$C$1001,,0)=0,"Not _Provided",_xlfn.XLOOKUP(C568,customers!$A$1:$A$1001,customers!$C$1:$C$1001,,0))</f>
        <v>akelstonfq@sakura.ne.jp</v>
      </c>
      <c r="H568" s="2" t="str">
        <f>_xlfn.XLOOKUP(C568,customers!$A$1:$A$1001,customers!$G$1:$G$1001,,0)</f>
        <v>United States</v>
      </c>
      <c r="I568" t="str">
        <f>INDEX(products!$B$1:$B$49,MATCH($D568,products!$A$1:$A$49,0))</f>
        <v>Ara</v>
      </c>
      <c r="J568" t="str">
        <f>INDEX(products!$C$1:$C$49,MATCH($D568,products!$A$1:$A$49,0))</f>
        <v>M</v>
      </c>
      <c r="K568" s="4">
        <f>INDEX(products!$D$1:$D$49,MATCH($D568,products!$A$1:$A$49,0))</f>
        <v>0.2</v>
      </c>
      <c r="L568" s="5">
        <f>INDEX(products!$E$1:$E$49,MATCH($D568,products!$A$1:$A$49,0))</f>
        <v>3.375</v>
      </c>
      <c r="M568" s="5">
        <f t="shared" si="8"/>
        <v>20.25</v>
      </c>
      <c r="N568" t="str" cm="1">
        <f t="array" ref="N568">_xlfn.IFS(I568="Rob","Robusta",I568="Exc","Excelsa",I568="Ara","Arabica",I568="Lib","Liberica")</f>
        <v>Arabica</v>
      </c>
      <c r="O568" t="str" cm="1">
        <f t="array" ref="O568">_xlfn.SWITCH($J568,"M","Medium","L","Light","D","Dark")</f>
        <v>Medium</v>
      </c>
      <c r="P568" t="str">
        <f>_xlfn.XLOOKUP(Table1[[#This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IF(_xlfn.XLOOKUP(C569,customers!$A$1:$A$1001,customers!$C$1:$C$1001,,0)=0,"Not _Provided",_xlfn.XLOOKUP(C569,customers!$A$1:$A$1001,customers!$C$1:$C$1001,,0))</f>
        <v>Not _Provided</v>
      </c>
      <c r="H569" s="2" t="str">
        <f>_xlfn.XLOOKUP(C569,customers!$A$1:$A$1001,customers!$G$1:$G$1001,,0)</f>
        <v>Ireland</v>
      </c>
      <c r="I569" t="str">
        <f>INDEX(products!$B$1:$B$49,MATCH($D569,products!$A$1:$A$49,0))</f>
        <v>Rob</v>
      </c>
      <c r="J569" t="str">
        <f>INDEX(products!$C$1:$C$49,MATCH($D569,products!$A$1:$A$49,0))</f>
        <v>L</v>
      </c>
      <c r="K569" s="4">
        <f>INDEX(products!$D$1:$D$49,MATCH($D569,products!$A$1:$A$49,0))</f>
        <v>2.5</v>
      </c>
      <c r="L569" s="5">
        <f>INDEX(products!$E$1:$E$49,MATCH($D569,products!$A$1:$A$49,0))</f>
        <v>27.484999999999996</v>
      </c>
      <c r="M569" s="5">
        <f t="shared" si="8"/>
        <v>164.90999999999997</v>
      </c>
      <c r="N569" t="str" cm="1">
        <f t="array" ref="N569">_xlfn.IFS(I569="Rob","Robusta",I569="Exc","Excelsa",I569="Ara","Arabica",I569="Lib","Liberica")</f>
        <v>Robusta</v>
      </c>
      <c r="O569" t="str" cm="1">
        <f t="array" ref="O569">_xlfn.SWITCH($J569,"M","Medium","L","Light","D","Dark")</f>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IF(_xlfn.XLOOKUP(C570,customers!$A$1:$A$1001,customers!$C$1:$C$1001,,0)=0,"Not _Provided",_xlfn.XLOOKUP(C570,customers!$A$1:$A$1001,customers!$C$1:$C$1001,,0))</f>
        <v>cmottramfs@harvard.edu</v>
      </c>
      <c r="H570" s="2" t="str">
        <f>_xlfn.XLOOKUP(C570,customers!$A$1:$A$1001,customers!$G$1:$G$1001,,0)</f>
        <v>United States</v>
      </c>
      <c r="I570" t="str">
        <f>INDEX(products!$B$1:$B$49,MATCH($D570,products!$A$1:$A$49,0))</f>
        <v>Lib</v>
      </c>
      <c r="J570" t="str">
        <f>INDEX(products!$C$1:$C$49,MATCH($D570,products!$A$1:$A$49,0))</f>
        <v>L</v>
      </c>
      <c r="K570" s="4">
        <f>INDEX(products!$D$1:$D$49,MATCH($D570,products!$A$1:$A$49,0))</f>
        <v>0.2</v>
      </c>
      <c r="L570" s="5">
        <f>INDEX(products!$E$1:$E$49,MATCH($D570,products!$A$1:$A$49,0))</f>
        <v>4.7549999999999999</v>
      </c>
      <c r="M570" s="5">
        <f t="shared" si="8"/>
        <v>19.02</v>
      </c>
      <c r="N570" t="str" cm="1">
        <f t="array" ref="N570">_xlfn.IFS(I570="Rob","Robusta",I570="Exc","Excelsa",I570="Ara","Arabica",I570="Lib","Liberica")</f>
        <v>Liberica</v>
      </c>
      <c r="O570" t="str" cm="1">
        <f t="array" ref="O570">_xlfn.SWITCH($J570,"M","Medium","L","Light","D","Dark")</f>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IF(_xlfn.XLOOKUP(C571,customers!$A$1:$A$1001,customers!$C$1:$C$1001,,0)=0,"Not _Provided",_xlfn.XLOOKUP(C571,customers!$A$1:$A$1001,customers!$C$1:$C$1001,,0))</f>
        <v>dflintiffg1@e-recht24.de</v>
      </c>
      <c r="H571" s="2" t="str">
        <f>_xlfn.XLOOKUP(C571,customers!$A$1:$A$1001,customers!$G$1:$G$1001,,0)</f>
        <v>United Kingdom</v>
      </c>
      <c r="I571" t="str">
        <f>INDEX(products!$B$1:$B$49,MATCH($D571,products!$A$1:$A$49,0))</f>
        <v>Ara</v>
      </c>
      <c r="J571" t="str">
        <f>INDEX(products!$C$1:$C$49,MATCH($D571,products!$A$1:$A$49,0))</f>
        <v>D</v>
      </c>
      <c r="K571" s="4">
        <f>INDEX(products!$D$1:$D$49,MATCH($D571,products!$A$1:$A$49,0))</f>
        <v>2.5</v>
      </c>
      <c r="L571" s="5">
        <f>INDEX(products!$E$1:$E$49,MATCH($D571,products!$A$1:$A$49,0))</f>
        <v>22.884999999999998</v>
      </c>
      <c r="M571" s="5">
        <f t="shared" si="8"/>
        <v>137.31</v>
      </c>
      <c r="N571" t="str" cm="1">
        <f t="array" ref="N571">_xlfn.IFS(I571="Rob","Robusta",I571="Exc","Excelsa",I571="Ara","Arabica",I571="Lib","Liberica")</f>
        <v>Arabica</v>
      </c>
      <c r="O571" t="str" cm="1">
        <f t="array" ref="O571">_xlfn.SWITCH($J571,"M","Medium","L","Light","D","Dark")</f>
        <v>Dark</v>
      </c>
      <c r="P571" t="str">
        <f>_xlfn.XLOOKUP(Table1[[#This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IF(_xlfn.XLOOKUP(C572,customers!$A$1:$A$1001,customers!$C$1:$C$1001,,0)=0,"Not _Provided",_xlfn.XLOOKUP(C572,customers!$A$1:$A$1001,customers!$C$1:$C$1001,,0))</f>
        <v>dsangwinfu@weebly.com</v>
      </c>
      <c r="H572" s="2" t="str">
        <f>_xlfn.XLOOKUP(C572,customers!$A$1:$A$1001,customers!$G$1:$G$1001,,0)</f>
        <v>United States</v>
      </c>
      <c r="I572" t="str">
        <f>INDEX(products!$B$1:$B$49,MATCH($D572,products!$A$1:$A$49,0))</f>
        <v>Ara</v>
      </c>
      <c r="J572" t="str">
        <f>INDEX(products!$C$1:$C$49,MATCH($D572,products!$A$1:$A$49,0))</f>
        <v>M</v>
      </c>
      <c r="K572" s="4">
        <f>INDEX(products!$D$1:$D$49,MATCH($D572,products!$A$1:$A$49,0))</f>
        <v>0.5</v>
      </c>
      <c r="L572" s="5">
        <f>INDEX(products!$E$1:$E$49,MATCH($D572,products!$A$1:$A$49,0))</f>
        <v>6.75</v>
      </c>
      <c r="M572" s="5">
        <f t="shared" si="8"/>
        <v>27</v>
      </c>
      <c r="N572" t="str" cm="1">
        <f t="array" ref="N572">_xlfn.IFS(I572="Rob","Robusta",I572="Exc","Excelsa",I572="Ara","Arabica",I572="Lib","Liberica")</f>
        <v>Arabica</v>
      </c>
      <c r="O572" t="str" cm="1">
        <f t="array" ref="O572">_xlfn.SWITCH($J572,"M","Medium","L","Light","D","Dark")</f>
        <v>Medium</v>
      </c>
      <c r="P572" t="str">
        <f>_xlfn.XLOOKUP(Table1[[#This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IF(_xlfn.XLOOKUP(C573,customers!$A$1:$A$1001,customers!$C$1:$C$1001,,0)=0,"Not _Provided",_xlfn.XLOOKUP(C573,customers!$A$1:$A$1001,customers!$C$1:$C$1001,,0))</f>
        <v>eaizikowitzfv@virginia.edu</v>
      </c>
      <c r="H573" s="2" t="str">
        <f>_xlfn.XLOOKUP(C573,customers!$A$1:$A$1001,customers!$G$1:$G$1001,,0)</f>
        <v>United Kingdom</v>
      </c>
      <c r="I573" t="str">
        <f>INDEX(products!$B$1:$B$49,MATCH($D573,products!$A$1:$A$49,0))</f>
        <v>Exc</v>
      </c>
      <c r="J573" t="str">
        <f>INDEX(products!$C$1:$C$49,MATCH($D573,products!$A$1:$A$49,0))</f>
        <v>L</v>
      </c>
      <c r="K573" s="4">
        <f>INDEX(products!$D$1:$D$49,MATCH($D573,products!$A$1:$A$49,0))</f>
        <v>0.5</v>
      </c>
      <c r="L573" s="5">
        <f>INDEX(products!$E$1:$E$49,MATCH($D573,products!$A$1:$A$49,0))</f>
        <v>8.91</v>
      </c>
      <c r="M573" s="5">
        <f t="shared" si="8"/>
        <v>35.64</v>
      </c>
      <c r="N573" t="str" cm="1">
        <f t="array" ref="N573">_xlfn.IFS(I573="Rob","Robusta",I573="Exc","Excelsa",I573="Ara","Arabica",I573="Lib","Liberica")</f>
        <v>Excelsa</v>
      </c>
      <c r="O573" t="str" cm="1">
        <f t="array" ref="O573">_xlfn.SWITCH($J573,"M","Medium","L","Light","D","Dark")</f>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IF(_xlfn.XLOOKUP(C574,customers!$A$1:$A$1001,customers!$C$1:$C$1001,,0)=0,"Not _Provided",_xlfn.XLOOKUP(C574,customers!$A$1:$A$1001,customers!$C$1:$C$1001,,0))</f>
        <v>Not _Provided</v>
      </c>
      <c r="H574" s="2" t="str">
        <f>_xlfn.XLOOKUP(C574,customers!$A$1:$A$1001,customers!$G$1:$G$1001,,0)</f>
        <v>United States</v>
      </c>
      <c r="I574" t="str">
        <f>INDEX(products!$B$1:$B$49,MATCH($D574,products!$A$1:$A$49,0))</f>
        <v>Ara</v>
      </c>
      <c r="J574" t="str">
        <f>INDEX(products!$C$1:$C$49,MATCH($D574,products!$A$1:$A$49,0))</f>
        <v>D</v>
      </c>
      <c r="K574" s="4">
        <f>INDEX(products!$D$1:$D$49,MATCH($D574,products!$A$1:$A$49,0))</f>
        <v>0.2</v>
      </c>
      <c r="L574" s="5">
        <f>INDEX(products!$E$1:$E$49,MATCH($D574,products!$A$1:$A$49,0))</f>
        <v>2.9849999999999999</v>
      </c>
      <c r="M574" s="5">
        <f t="shared" si="8"/>
        <v>5.97</v>
      </c>
      <c r="N574" t="str" cm="1">
        <f t="array" ref="N574">_xlfn.IFS(I574="Rob","Robusta",I574="Exc","Excelsa",I574="Ara","Arabica",I574="Lib","Liberica")</f>
        <v>Arabica</v>
      </c>
      <c r="O574" t="str" cm="1">
        <f t="array" ref="O574">_xlfn.SWITCH($J574,"M","Medium","L","Light","D","Dark")</f>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IF(_xlfn.XLOOKUP(C575,customers!$A$1:$A$1001,customers!$C$1:$C$1001,,0)=0,"Not _Provided",_xlfn.XLOOKUP(C575,customers!$A$1:$A$1001,customers!$C$1:$C$1001,,0))</f>
        <v>cvenourfx@ask.com</v>
      </c>
      <c r="H575" s="2" t="str">
        <f>_xlfn.XLOOKUP(C575,customers!$A$1:$A$1001,customers!$G$1:$G$1001,,0)</f>
        <v>United States</v>
      </c>
      <c r="I575" t="str">
        <f>INDEX(products!$B$1:$B$49,MATCH($D575,products!$A$1:$A$49,0))</f>
        <v>Ara</v>
      </c>
      <c r="J575" t="str">
        <f>INDEX(products!$C$1:$C$49,MATCH($D575,products!$A$1:$A$49,0))</f>
        <v>M</v>
      </c>
      <c r="K575" s="4">
        <f>INDEX(products!$D$1:$D$49,MATCH($D575,products!$A$1:$A$49,0))</f>
        <v>1</v>
      </c>
      <c r="L575" s="5">
        <f>INDEX(products!$E$1:$E$49,MATCH($D575,products!$A$1:$A$49,0))</f>
        <v>11.25</v>
      </c>
      <c r="M575" s="5">
        <f t="shared" si="8"/>
        <v>67.5</v>
      </c>
      <c r="N575" t="str" cm="1">
        <f t="array" ref="N575">_xlfn.IFS(I575="Rob","Robusta",I575="Exc","Excelsa",I575="Ara","Arabica",I575="Lib","Liberica")</f>
        <v>Arabica</v>
      </c>
      <c r="O575" t="str" cm="1">
        <f t="array" ref="O575">_xlfn.SWITCH($J575,"M","Medium","L","Light","D","Dark")</f>
        <v>Medium</v>
      </c>
      <c r="P575" t="str">
        <f>_xlfn.XLOOKUP(Table1[[#This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IF(_xlfn.XLOOKUP(C576,customers!$A$1:$A$1001,customers!$C$1:$C$1001,,0)=0,"Not _Provided",_xlfn.XLOOKUP(C576,customers!$A$1:$A$1001,customers!$C$1:$C$1001,,0))</f>
        <v>mharbyfy@163.com</v>
      </c>
      <c r="H576" s="2" t="str">
        <f>_xlfn.XLOOKUP(C576,customers!$A$1:$A$1001,customers!$G$1:$G$1001,,0)</f>
        <v>United States</v>
      </c>
      <c r="I576" t="str">
        <f>INDEX(products!$B$1:$B$49,MATCH($D576,products!$A$1:$A$49,0))</f>
        <v>Rob</v>
      </c>
      <c r="J576" t="str">
        <f>INDEX(products!$C$1:$C$49,MATCH($D576,products!$A$1:$A$49,0))</f>
        <v>L</v>
      </c>
      <c r="K576" s="4">
        <f>INDEX(products!$D$1:$D$49,MATCH($D576,products!$A$1:$A$49,0))</f>
        <v>0.2</v>
      </c>
      <c r="L576" s="5">
        <f>INDEX(products!$E$1:$E$49,MATCH($D576,products!$A$1:$A$49,0))</f>
        <v>3.5849999999999995</v>
      </c>
      <c r="M576" s="5">
        <f t="shared" si="8"/>
        <v>21.509999999999998</v>
      </c>
      <c r="N576" t="str" cm="1">
        <f t="array" ref="N576">_xlfn.IFS(I576="Rob","Robusta",I576="Exc","Excelsa",I576="Ara","Arabica",I576="Lib","Liberica")</f>
        <v>Robusta</v>
      </c>
      <c r="O576" t="str" cm="1">
        <f t="array" ref="O576">_xlfn.SWITCH($J576,"M","Medium","L","Light","D","Dark")</f>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IF(_xlfn.XLOOKUP(C577,customers!$A$1:$A$1001,customers!$C$1:$C$1001,,0)=0,"Not _Provided",_xlfn.XLOOKUP(C577,customers!$A$1:$A$1001,customers!$C$1:$C$1001,,0))</f>
        <v>rthickpennyfz@cafepress.com</v>
      </c>
      <c r="H577" s="2" t="str">
        <f>_xlfn.XLOOKUP(C577,customers!$A$1:$A$1001,customers!$G$1:$G$1001,,0)</f>
        <v>United States</v>
      </c>
      <c r="I577" t="str">
        <f>INDEX(products!$B$1:$B$49,MATCH($D577,products!$A$1:$A$49,0))</f>
        <v>Lib</v>
      </c>
      <c r="J577" t="str">
        <f>INDEX(products!$C$1:$C$49,MATCH($D577,products!$A$1:$A$49,0))</f>
        <v>M</v>
      </c>
      <c r="K577" s="4">
        <f>INDEX(products!$D$1:$D$49,MATCH($D577,products!$A$1:$A$49,0))</f>
        <v>2.5</v>
      </c>
      <c r="L577" s="5">
        <f>INDEX(products!$E$1:$E$49,MATCH($D577,products!$A$1:$A$49,0))</f>
        <v>33.464999999999996</v>
      </c>
      <c r="M577" s="5">
        <f t="shared" si="8"/>
        <v>66.929999999999993</v>
      </c>
      <c r="N577" t="str" cm="1">
        <f t="array" ref="N577">_xlfn.IFS(I577="Rob","Robusta",I577="Exc","Excelsa",I577="Ara","Arabica",I577="Lib","Liberica")</f>
        <v>Liberica</v>
      </c>
      <c r="O577" t="str" cm="1">
        <f t="array" ref="O577">_xlfn.SWITCH($J577,"M","Medium","L","Light","D","Dark")</f>
        <v>Medium</v>
      </c>
      <c r="P577" t="str">
        <f>_xlfn.XLOOKUP(Table1[[#This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IF(_xlfn.XLOOKUP(C578,customers!$A$1:$A$1001,customers!$C$1:$C$1001,,0)=0,"Not _Provided",_xlfn.XLOOKUP(C578,customers!$A$1:$A$1001,customers!$C$1:$C$1001,,0))</f>
        <v>pormerodg0@redcross.org</v>
      </c>
      <c r="H578" s="2" t="str">
        <f>_xlfn.XLOOKUP(C578,customers!$A$1:$A$1001,customers!$G$1:$G$1001,,0)</f>
        <v>United States</v>
      </c>
      <c r="I578" t="str">
        <f>INDEX(products!$B$1:$B$49,MATCH($D578,products!$A$1:$A$49,0))</f>
        <v>Ara</v>
      </c>
      <c r="J578" t="str">
        <f>INDEX(products!$C$1:$C$49,MATCH($D578,products!$A$1:$A$49,0))</f>
        <v>D</v>
      </c>
      <c r="K578" s="4">
        <f>INDEX(products!$D$1:$D$49,MATCH($D578,products!$A$1:$A$49,0))</f>
        <v>0.2</v>
      </c>
      <c r="L578" s="5">
        <f>INDEX(products!$E$1:$E$49,MATCH($D578,products!$A$1:$A$49,0))</f>
        <v>2.9849999999999999</v>
      </c>
      <c r="M578" s="5">
        <f t="shared" si="8"/>
        <v>17.91</v>
      </c>
      <c r="N578" t="str" cm="1">
        <f t="array" ref="N578">_xlfn.IFS(I578="Rob","Robusta",I578="Exc","Excelsa",I578="Ara","Arabica",I578="Lib","Liberica")</f>
        <v>Arabica</v>
      </c>
      <c r="O578" t="str" cm="1">
        <f t="array" ref="O578">_xlfn.SWITCH($J578,"M","Medium","L","Light","D","Dark")</f>
        <v>Dark</v>
      </c>
      <c r="P578" t="str">
        <f>_xlfn.XLOOKUP(Table1[[#This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IF(_xlfn.XLOOKUP(C579,customers!$A$1:$A$1001,customers!$C$1:$C$1001,,0)=0,"Not _Provided",_xlfn.XLOOKUP(C579,customers!$A$1:$A$1001,customers!$C$1:$C$1001,,0))</f>
        <v>dflintiffg1@e-recht24.de</v>
      </c>
      <c r="H579" s="2" t="str">
        <f>_xlfn.XLOOKUP(C579,customers!$A$1:$A$1001,customers!$G$1:$G$1001,,0)</f>
        <v>United Kingdom</v>
      </c>
      <c r="I579" t="str">
        <f>INDEX(products!$B$1:$B$49,MATCH($D579,products!$A$1:$A$49,0))</f>
        <v>Lib</v>
      </c>
      <c r="J579" t="str">
        <f>INDEX(products!$C$1:$C$49,MATCH($D579,products!$A$1:$A$49,0))</f>
        <v>M</v>
      </c>
      <c r="K579" s="4">
        <f>INDEX(products!$D$1:$D$49,MATCH($D579,products!$A$1:$A$49,0))</f>
        <v>1</v>
      </c>
      <c r="L579" s="5">
        <f>INDEX(products!$E$1:$E$49,MATCH($D579,products!$A$1:$A$49,0))</f>
        <v>14.55</v>
      </c>
      <c r="M579" s="5">
        <f t="shared" ref="M579:M642" si="9">E579*L579</f>
        <v>58.2</v>
      </c>
      <c r="N579" t="str" cm="1">
        <f t="array" ref="N579">_xlfn.IFS(I579="Rob","Robusta",I579="Exc","Excelsa",I579="Ara","Arabica",I579="Lib","Liberica")</f>
        <v>Liberica</v>
      </c>
      <c r="O579" t="str" cm="1">
        <f t="array" ref="O579">_xlfn.SWITCH($J579,"M","Medium","L","Light","D","Dark")</f>
        <v>Medium</v>
      </c>
      <c r="P579" t="str">
        <f>_xlfn.XLOOKUP(Table1[[#This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IF(_xlfn.XLOOKUP(C580,customers!$A$1:$A$1001,customers!$C$1:$C$1001,,0)=0,"Not _Provided",_xlfn.XLOOKUP(C580,customers!$A$1:$A$1001,customers!$C$1:$C$1001,,0))</f>
        <v>tzanettig2@gravatar.com</v>
      </c>
      <c r="H580" s="2" t="str">
        <f>_xlfn.XLOOKUP(C580,customers!$A$1:$A$1001,customers!$G$1:$G$1001,,0)</f>
        <v>Ireland</v>
      </c>
      <c r="I580" t="str">
        <f>INDEX(products!$B$1:$B$49,MATCH($D580,products!$A$1:$A$49,0))</f>
        <v>Exc</v>
      </c>
      <c r="J580" t="str">
        <f>INDEX(products!$C$1:$C$49,MATCH($D580,products!$A$1:$A$49,0))</f>
        <v>L</v>
      </c>
      <c r="K580" s="4">
        <f>INDEX(products!$D$1:$D$49,MATCH($D580,products!$A$1:$A$49,0))</f>
        <v>0.2</v>
      </c>
      <c r="L580" s="5">
        <f>INDEX(products!$E$1:$E$49,MATCH($D580,products!$A$1:$A$49,0))</f>
        <v>4.4550000000000001</v>
      </c>
      <c r="M580" s="5">
        <f t="shared" si="9"/>
        <v>13.365</v>
      </c>
      <c r="N580" t="str" cm="1">
        <f t="array" ref="N580">_xlfn.IFS(I580="Rob","Robusta",I580="Exc","Excelsa",I580="Ara","Arabica",I580="Lib","Liberica")</f>
        <v>Excelsa</v>
      </c>
      <c r="O580" t="str" cm="1">
        <f t="array" ref="O580">_xlfn.SWITCH($J580,"M","Medium","L","Light","D","Dark")</f>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IF(_xlfn.XLOOKUP(C581,customers!$A$1:$A$1001,customers!$C$1:$C$1001,,0)=0,"Not _Provided",_xlfn.XLOOKUP(C581,customers!$A$1:$A$1001,customers!$C$1:$C$1001,,0))</f>
        <v>tzanettig2@gravatar.com</v>
      </c>
      <c r="H581" s="2" t="str">
        <f>_xlfn.XLOOKUP(C581,customers!$A$1:$A$1001,customers!$G$1:$G$1001,,0)</f>
        <v>Ireland</v>
      </c>
      <c r="I581" t="str">
        <f>INDEX(products!$B$1:$B$49,MATCH($D581,products!$A$1:$A$49,0))</f>
        <v>Ara</v>
      </c>
      <c r="J581" t="str">
        <f>INDEX(products!$C$1:$C$49,MATCH($D581,products!$A$1:$A$49,0))</f>
        <v>M</v>
      </c>
      <c r="K581" s="4">
        <f>INDEX(products!$D$1:$D$49,MATCH($D581,products!$A$1:$A$49,0))</f>
        <v>0.5</v>
      </c>
      <c r="L581" s="5">
        <f>INDEX(products!$E$1:$E$49,MATCH($D581,products!$A$1:$A$49,0))</f>
        <v>6.75</v>
      </c>
      <c r="M581" s="5">
        <f t="shared" si="9"/>
        <v>33.75</v>
      </c>
      <c r="N581" t="str" cm="1">
        <f t="array" ref="N581">_xlfn.IFS(I581="Rob","Robusta",I581="Exc","Excelsa",I581="Ara","Arabica",I581="Lib","Liberica")</f>
        <v>Arabica</v>
      </c>
      <c r="O581" t="str" cm="1">
        <f t="array" ref="O581">_xlfn.SWITCH($J581,"M","Medium","L","Light","D","Dark")</f>
        <v>Medium</v>
      </c>
      <c r="P581" t="str">
        <f>_xlfn.XLOOKUP(Table1[[#This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IF(_xlfn.XLOOKUP(C582,customers!$A$1:$A$1001,customers!$C$1:$C$1001,,0)=0,"Not _Provided",_xlfn.XLOOKUP(C582,customers!$A$1:$A$1001,customers!$C$1:$C$1001,,0))</f>
        <v>rkirtleyg4@hatena.ne.jp</v>
      </c>
      <c r="H582" s="2" t="str">
        <f>_xlfn.XLOOKUP(C582,customers!$A$1:$A$1001,customers!$G$1:$G$1001,,0)</f>
        <v>United States</v>
      </c>
      <c r="I582" t="str">
        <f>INDEX(products!$B$1:$B$49,MATCH($D582,products!$A$1:$A$49,0))</f>
        <v>Exc</v>
      </c>
      <c r="J582" t="str">
        <f>INDEX(products!$C$1:$C$49,MATCH($D582,products!$A$1:$A$49,0))</f>
        <v>L</v>
      </c>
      <c r="K582" s="4">
        <f>INDEX(products!$D$1:$D$49,MATCH($D582,products!$A$1:$A$49,0))</f>
        <v>1</v>
      </c>
      <c r="L582" s="5">
        <f>INDEX(products!$E$1:$E$49,MATCH($D582,products!$A$1:$A$49,0))</f>
        <v>14.85</v>
      </c>
      <c r="M582" s="5">
        <f t="shared" si="9"/>
        <v>44.55</v>
      </c>
      <c r="N582" t="str" cm="1">
        <f t="array" ref="N582">_xlfn.IFS(I582="Rob","Robusta",I582="Exc","Excelsa",I582="Ara","Arabica",I582="Lib","Liberica")</f>
        <v>Excelsa</v>
      </c>
      <c r="O582" t="str" cm="1">
        <f t="array" ref="O582">_xlfn.SWITCH($J582,"M","Medium","L","Light","D","Dark")</f>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IF(_xlfn.XLOOKUP(C583,customers!$A$1:$A$1001,customers!$C$1:$C$1001,,0)=0,"Not _Provided",_xlfn.XLOOKUP(C583,customers!$A$1:$A$1001,customers!$C$1:$C$1001,,0))</f>
        <v>cclemencetg5@weather.com</v>
      </c>
      <c r="H583" s="2" t="str">
        <f>_xlfn.XLOOKUP(C583,customers!$A$1:$A$1001,customers!$G$1:$G$1001,,0)</f>
        <v>United Kingdom</v>
      </c>
      <c r="I583" t="str">
        <f>INDEX(products!$B$1:$B$49,MATCH($D583,products!$A$1:$A$49,0))</f>
        <v>Exc</v>
      </c>
      <c r="J583" t="str">
        <f>INDEX(products!$C$1:$C$49,MATCH($D583,products!$A$1:$A$49,0))</f>
        <v>L</v>
      </c>
      <c r="K583" s="4">
        <f>INDEX(products!$D$1:$D$49,MATCH($D583,products!$A$1:$A$49,0))</f>
        <v>0.5</v>
      </c>
      <c r="L583" s="5">
        <f>INDEX(products!$E$1:$E$49,MATCH($D583,products!$A$1:$A$49,0))</f>
        <v>8.91</v>
      </c>
      <c r="M583" s="5">
        <f t="shared" si="9"/>
        <v>44.55</v>
      </c>
      <c r="N583" t="str" cm="1">
        <f t="array" ref="N583">_xlfn.IFS(I583="Rob","Robusta",I583="Exc","Excelsa",I583="Ara","Arabica",I583="Lib","Liberica")</f>
        <v>Excelsa</v>
      </c>
      <c r="O583" t="str" cm="1">
        <f t="array" ref="O583">_xlfn.SWITCH($J583,"M","Medium","L","Light","D","Dark")</f>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IF(_xlfn.XLOOKUP(C584,customers!$A$1:$A$1001,customers!$C$1:$C$1001,,0)=0,"Not _Provided",_xlfn.XLOOKUP(C584,customers!$A$1:$A$1001,customers!$C$1:$C$1001,,0))</f>
        <v>rdonetg6@oakley.com</v>
      </c>
      <c r="H584" s="2" t="str">
        <f>_xlfn.XLOOKUP(C584,customers!$A$1:$A$1001,customers!$G$1:$G$1001,,0)</f>
        <v>United States</v>
      </c>
      <c r="I584" t="str">
        <f>INDEX(products!$B$1:$B$49,MATCH($D584,products!$A$1:$A$49,0))</f>
        <v>Exc</v>
      </c>
      <c r="J584" t="str">
        <f>INDEX(products!$C$1:$C$49,MATCH($D584,products!$A$1:$A$49,0))</f>
        <v>D</v>
      </c>
      <c r="K584" s="4">
        <f>INDEX(products!$D$1:$D$49,MATCH($D584,products!$A$1:$A$49,0))</f>
        <v>1</v>
      </c>
      <c r="L584" s="5">
        <f>INDEX(products!$E$1:$E$49,MATCH($D584,products!$A$1:$A$49,0))</f>
        <v>12.15</v>
      </c>
      <c r="M584" s="5">
        <f t="shared" si="9"/>
        <v>60.75</v>
      </c>
      <c r="N584" t="str" cm="1">
        <f t="array" ref="N584">_xlfn.IFS(I584="Rob","Robusta",I584="Exc","Excelsa",I584="Ara","Arabica",I584="Lib","Liberica")</f>
        <v>Excelsa</v>
      </c>
      <c r="O584" t="str" cm="1">
        <f t="array" ref="O584">_xlfn.SWITCH($J584,"M","Medium","L","Light","D","Dark")</f>
        <v>Dark</v>
      </c>
      <c r="P584" t="str">
        <f>_xlfn.XLOOKUP(Table1[[#This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IF(_xlfn.XLOOKUP(C585,customers!$A$1:$A$1001,customers!$C$1:$C$1001,,0)=0,"Not _Provided",_xlfn.XLOOKUP(C585,customers!$A$1:$A$1001,customers!$C$1:$C$1001,,0))</f>
        <v>sgaweng7@creativecommons.org</v>
      </c>
      <c r="H585" s="2" t="str">
        <f>_xlfn.XLOOKUP(C585,customers!$A$1:$A$1001,customers!$G$1:$G$1001,,0)</f>
        <v>United States</v>
      </c>
      <c r="I585" t="str">
        <f>INDEX(products!$B$1:$B$49,MATCH($D585,products!$A$1:$A$49,0))</f>
        <v>Rob</v>
      </c>
      <c r="J585" t="str">
        <f>INDEX(products!$C$1:$C$49,MATCH($D585,products!$A$1:$A$49,0))</f>
        <v>L</v>
      </c>
      <c r="K585" s="4">
        <f>INDEX(products!$D$1:$D$49,MATCH($D585,products!$A$1:$A$49,0))</f>
        <v>0.2</v>
      </c>
      <c r="L585" s="5">
        <f>INDEX(products!$E$1:$E$49,MATCH($D585,products!$A$1:$A$49,0))</f>
        <v>3.5849999999999995</v>
      </c>
      <c r="M585" s="5">
        <f t="shared" si="9"/>
        <v>3.5849999999999995</v>
      </c>
      <c r="N585" t="str" cm="1">
        <f t="array" ref="N585">_xlfn.IFS(I585="Rob","Robusta",I585="Exc","Excelsa",I585="Ara","Arabica",I585="Lib","Liberica")</f>
        <v>Robusta</v>
      </c>
      <c r="O585" t="str" cm="1">
        <f t="array" ref="O585">_xlfn.SWITCH($J585,"M","Medium","L","Light","D","Dark")</f>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IF(_xlfn.XLOOKUP(C586,customers!$A$1:$A$1001,customers!$C$1:$C$1001,,0)=0,"Not _Provided",_xlfn.XLOOKUP(C586,customers!$A$1:$A$1001,customers!$C$1:$C$1001,,0))</f>
        <v>rreadieg8@guardian.co.uk</v>
      </c>
      <c r="H586" s="2" t="str">
        <f>_xlfn.XLOOKUP(C586,customers!$A$1:$A$1001,customers!$G$1:$G$1001,,0)</f>
        <v>United States</v>
      </c>
      <c r="I586" t="str">
        <f>INDEX(products!$B$1:$B$49,MATCH($D586,products!$A$1:$A$49,0))</f>
        <v>Rob</v>
      </c>
      <c r="J586" t="str">
        <f>INDEX(products!$C$1:$C$49,MATCH($D586,products!$A$1:$A$49,0))</f>
        <v>L</v>
      </c>
      <c r="K586" s="4">
        <f>INDEX(products!$D$1:$D$49,MATCH($D586,products!$A$1:$A$49,0))</f>
        <v>0.2</v>
      </c>
      <c r="L586" s="5">
        <f>INDEX(products!$E$1:$E$49,MATCH($D586,products!$A$1:$A$49,0))</f>
        <v>3.5849999999999995</v>
      </c>
      <c r="M586" s="5">
        <f t="shared" si="9"/>
        <v>21.509999999999998</v>
      </c>
      <c r="N586" t="str" cm="1">
        <f t="array" ref="N586">_xlfn.IFS(I586="Rob","Robusta",I586="Exc","Excelsa",I586="Ara","Arabica",I586="Lib","Liberica")</f>
        <v>Robusta</v>
      </c>
      <c r="O586" t="str" cm="1">
        <f t="array" ref="O586">_xlfn.SWITCH($J586,"M","Medium","L","Light","D","Dark")</f>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IF(_xlfn.XLOOKUP(C587,customers!$A$1:$A$1001,customers!$C$1:$C$1001,,0)=0,"Not _Provided",_xlfn.XLOOKUP(C587,customers!$A$1:$A$1001,customers!$C$1:$C$1001,,0))</f>
        <v>cverissimogh@theglobeandmail.com</v>
      </c>
      <c r="H587" s="2" t="str">
        <f>_xlfn.XLOOKUP(C587,customers!$A$1:$A$1001,customers!$G$1:$G$1001,,0)</f>
        <v>United Kingdom</v>
      </c>
      <c r="I587" t="str">
        <f>INDEX(products!$B$1:$B$49,MATCH($D587,products!$A$1:$A$49,0))</f>
        <v>Exc</v>
      </c>
      <c r="J587" t="str">
        <f>INDEX(products!$C$1:$C$49,MATCH($D587,products!$A$1:$A$49,0))</f>
        <v>M</v>
      </c>
      <c r="K587" s="4">
        <f>INDEX(products!$D$1:$D$49,MATCH($D587,products!$A$1:$A$49,0))</f>
        <v>0.5</v>
      </c>
      <c r="L587" s="5">
        <f>INDEX(products!$E$1:$E$49,MATCH($D587,products!$A$1:$A$49,0))</f>
        <v>8.25</v>
      </c>
      <c r="M587" s="5">
        <f t="shared" si="9"/>
        <v>16.5</v>
      </c>
      <c r="N587" t="str" cm="1">
        <f t="array" ref="N587">_xlfn.IFS(I587="Rob","Robusta",I587="Exc","Excelsa",I587="Ara","Arabica",I587="Lib","Liberica")</f>
        <v>Excelsa</v>
      </c>
      <c r="O587" t="str" cm="1">
        <f t="array" ref="O587">_xlfn.SWITCH($J587,"M","Medium","L","Light","D","Dark")</f>
        <v>Medium</v>
      </c>
      <c r="P587" t="str">
        <f>_xlfn.XLOOKUP(Table1[[#This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IF(_xlfn.XLOOKUP(C588,customers!$A$1:$A$1001,customers!$C$1:$C$1001,,0)=0,"Not _Provided",_xlfn.XLOOKUP(C588,customers!$A$1:$A$1001,customers!$C$1:$C$1001,,0))</f>
        <v>Not _Provided</v>
      </c>
      <c r="H588" s="2" t="str">
        <f>_xlfn.XLOOKUP(C588,customers!$A$1:$A$1001,customers!$G$1:$G$1001,,0)</f>
        <v>United States</v>
      </c>
      <c r="I588" t="str">
        <f>INDEX(products!$B$1:$B$49,MATCH($D588,products!$A$1:$A$49,0))</f>
        <v>Rob</v>
      </c>
      <c r="J588" t="str">
        <f>INDEX(products!$C$1:$C$49,MATCH($D588,products!$A$1:$A$49,0))</f>
        <v>L</v>
      </c>
      <c r="K588" s="4">
        <f>INDEX(products!$D$1:$D$49,MATCH($D588,products!$A$1:$A$49,0))</f>
        <v>2.5</v>
      </c>
      <c r="L588" s="5">
        <f>INDEX(products!$E$1:$E$49,MATCH($D588,products!$A$1:$A$49,0))</f>
        <v>27.484999999999996</v>
      </c>
      <c r="M588" s="5">
        <f t="shared" si="9"/>
        <v>82.454999999999984</v>
      </c>
      <c r="N588" t="str" cm="1">
        <f t="array" ref="N588">_xlfn.IFS(I588="Rob","Robusta",I588="Exc","Excelsa",I588="Ara","Arabica",I588="Lib","Liberica")</f>
        <v>Robusta</v>
      </c>
      <c r="O588" t="str" cm="1">
        <f t="array" ref="O588">_xlfn.SWITCH($J588,"M","Medium","L","Light","D","Dark")</f>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IF(_xlfn.XLOOKUP(C589,customers!$A$1:$A$1001,customers!$C$1:$C$1001,,0)=0,"Not _Provided",_xlfn.XLOOKUP(C589,customers!$A$1:$A$1001,customers!$C$1:$C$1001,,0))</f>
        <v>bogb@elpais.com</v>
      </c>
      <c r="H589" s="2" t="str">
        <f>_xlfn.XLOOKUP(C589,customers!$A$1:$A$1001,customers!$G$1:$G$1001,,0)</f>
        <v>United States</v>
      </c>
      <c r="I589" t="str">
        <f>INDEX(products!$B$1:$B$49,MATCH($D589,products!$A$1:$A$49,0))</f>
        <v>Lib</v>
      </c>
      <c r="J589" t="str">
        <f>INDEX(products!$C$1:$C$49,MATCH($D589,products!$A$1:$A$49,0))</f>
        <v>D</v>
      </c>
      <c r="K589" s="4">
        <f>INDEX(products!$D$1:$D$49,MATCH($D589,products!$A$1:$A$49,0))</f>
        <v>0.5</v>
      </c>
      <c r="L589" s="5">
        <f>INDEX(products!$E$1:$E$49,MATCH($D589,products!$A$1:$A$49,0))</f>
        <v>7.77</v>
      </c>
      <c r="M589" s="5">
        <f t="shared" si="9"/>
        <v>7.77</v>
      </c>
      <c r="N589" t="str" cm="1">
        <f t="array" ref="N589">_xlfn.IFS(I589="Rob","Robusta",I589="Exc","Excelsa",I589="Ara","Arabica",I589="Lib","Liberica")</f>
        <v>Liberica</v>
      </c>
      <c r="O589" t="str" cm="1">
        <f t="array" ref="O589">_xlfn.SWITCH($J589,"M","Medium","L","Light","D","Dark")</f>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IF(_xlfn.XLOOKUP(C590,customers!$A$1:$A$1001,customers!$C$1:$C$1001,,0)=0,"Not _Provided",_xlfn.XLOOKUP(C590,customers!$A$1:$A$1001,customers!$C$1:$C$1001,,0))</f>
        <v>vstansburygc@unblog.fr</v>
      </c>
      <c r="H590" s="2" t="str">
        <f>_xlfn.XLOOKUP(C590,customers!$A$1:$A$1001,customers!$G$1:$G$1001,,0)</f>
        <v>United States</v>
      </c>
      <c r="I590" t="str">
        <f>INDEX(products!$B$1:$B$49,MATCH($D590,products!$A$1:$A$49,0))</f>
        <v>Rob</v>
      </c>
      <c r="J590" t="str">
        <f>INDEX(products!$C$1:$C$49,MATCH($D590,products!$A$1:$A$49,0))</f>
        <v>M</v>
      </c>
      <c r="K590" s="4">
        <f>INDEX(products!$D$1:$D$49,MATCH($D590,products!$A$1:$A$49,0))</f>
        <v>0.5</v>
      </c>
      <c r="L590" s="5">
        <f>INDEX(products!$E$1:$E$49,MATCH($D590,products!$A$1:$A$49,0))</f>
        <v>5.97</v>
      </c>
      <c r="M590" s="5">
        <f t="shared" si="9"/>
        <v>11.94</v>
      </c>
      <c r="N590" t="str" cm="1">
        <f t="array" ref="N590">_xlfn.IFS(I590="Rob","Robusta",I590="Exc","Excelsa",I590="Ara","Arabica",I590="Lib","Liberica")</f>
        <v>Robusta</v>
      </c>
      <c r="O590" t="str" cm="1">
        <f t="array" ref="O590">_xlfn.SWITCH($J590,"M","Medium","L","Light","D","Dark")</f>
        <v>Medium</v>
      </c>
      <c r="P590" t="str">
        <f>_xlfn.XLOOKUP(Table1[[#This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IF(_xlfn.XLOOKUP(C591,customers!$A$1:$A$1001,customers!$C$1:$C$1001,,0)=0,"Not _Provided",_xlfn.XLOOKUP(C591,customers!$A$1:$A$1001,customers!$C$1:$C$1001,,0))</f>
        <v>dheinonengd@printfriendly.com</v>
      </c>
      <c r="H591" s="2" t="str">
        <f>_xlfn.XLOOKUP(C591,customers!$A$1:$A$1001,customers!$G$1:$G$1001,,0)</f>
        <v>United States</v>
      </c>
      <c r="I591" t="str">
        <f>INDEX(products!$B$1:$B$49,MATCH($D591,products!$A$1:$A$49,0))</f>
        <v>Exc</v>
      </c>
      <c r="J591" t="str">
        <f>INDEX(products!$C$1:$C$49,MATCH($D591,products!$A$1:$A$49,0))</f>
        <v>L</v>
      </c>
      <c r="K591" s="4">
        <f>INDEX(products!$D$1:$D$49,MATCH($D591,products!$A$1:$A$49,0))</f>
        <v>2.5</v>
      </c>
      <c r="L591" s="5">
        <f>INDEX(products!$E$1:$E$49,MATCH($D591,products!$A$1:$A$49,0))</f>
        <v>34.154999999999994</v>
      </c>
      <c r="M591" s="5">
        <f t="shared" si="9"/>
        <v>204.92999999999995</v>
      </c>
      <c r="N591" t="str" cm="1">
        <f t="array" ref="N591">_xlfn.IFS(I591="Rob","Robusta",I591="Exc","Excelsa",I591="Ara","Arabica",I591="Lib","Liberica")</f>
        <v>Excelsa</v>
      </c>
      <c r="O591" t="str" cm="1">
        <f t="array" ref="O591">_xlfn.SWITCH($J591,"M","Medium","L","Light","D","Dark")</f>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IF(_xlfn.XLOOKUP(C592,customers!$A$1:$A$1001,customers!$C$1:$C$1001,,0)=0,"Not _Provided",_xlfn.XLOOKUP(C592,customers!$A$1:$A$1001,customers!$C$1:$C$1001,,0))</f>
        <v>jshentonge@google.com.hk</v>
      </c>
      <c r="H592" s="2" t="str">
        <f>_xlfn.XLOOKUP(C592,customers!$A$1:$A$1001,customers!$G$1:$G$1001,,0)</f>
        <v>United States</v>
      </c>
      <c r="I592" t="str">
        <f>INDEX(products!$B$1:$B$49,MATCH($D592,products!$A$1:$A$49,0))</f>
        <v>Exc</v>
      </c>
      <c r="J592" t="str">
        <f>INDEX(products!$C$1:$C$49,MATCH($D592,products!$A$1:$A$49,0))</f>
        <v>M</v>
      </c>
      <c r="K592" s="4">
        <f>INDEX(products!$D$1:$D$49,MATCH($D592,products!$A$1:$A$49,0))</f>
        <v>2.5</v>
      </c>
      <c r="L592" s="5">
        <f>INDEX(products!$E$1:$E$49,MATCH($D592,products!$A$1:$A$49,0))</f>
        <v>31.624999999999996</v>
      </c>
      <c r="M592" s="5">
        <f t="shared" si="9"/>
        <v>63.249999999999993</v>
      </c>
      <c r="N592" t="str" cm="1">
        <f t="array" ref="N592">_xlfn.IFS(I592="Rob","Robusta",I592="Exc","Excelsa",I592="Ara","Arabica",I592="Lib","Liberica")</f>
        <v>Excelsa</v>
      </c>
      <c r="O592" t="str" cm="1">
        <f t="array" ref="O592">_xlfn.SWITCH($J592,"M","Medium","L","Light","D","Dark")</f>
        <v>Medium</v>
      </c>
      <c r="P592" t="str">
        <f>_xlfn.XLOOKUP(Table1[[#This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IF(_xlfn.XLOOKUP(C593,customers!$A$1:$A$1001,customers!$C$1:$C$1001,,0)=0,"Not _Provided",_xlfn.XLOOKUP(C593,customers!$A$1:$A$1001,customers!$C$1:$C$1001,,0))</f>
        <v>jwilkissongf@nba.com</v>
      </c>
      <c r="H593" s="2" t="str">
        <f>_xlfn.XLOOKUP(C593,customers!$A$1:$A$1001,customers!$G$1:$G$1001,,0)</f>
        <v>United States</v>
      </c>
      <c r="I593" t="str">
        <f>INDEX(products!$B$1:$B$49,MATCH($D593,products!$A$1:$A$49,0))</f>
        <v>Rob</v>
      </c>
      <c r="J593" t="str">
        <f>INDEX(products!$C$1:$C$49,MATCH($D593,products!$A$1:$A$49,0))</f>
        <v>D</v>
      </c>
      <c r="K593" s="4">
        <f>INDEX(products!$D$1:$D$49,MATCH($D593,products!$A$1:$A$49,0))</f>
        <v>0.2</v>
      </c>
      <c r="L593" s="5">
        <f>INDEX(products!$E$1:$E$49,MATCH($D593,products!$A$1:$A$49,0))</f>
        <v>2.6849999999999996</v>
      </c>
      <c r="M593" s="5">
        <f t="shared" si="9"/>
        <v>8.0549999999999997</v>
      </c>
      <c r="N593" t="str" cm="1">
        <f t="array" ref="N593">_xlfn.IFS(I593="Rob","Robusta",I593="Exc","Excelsa",I593="Ara","Arabica",I593="Lib","Liberica")</f>
        <v>Robusta</v>
      </c>
      <c r="O593" t="str" cm="1">
        <f t="array" ref="O593">_xlfn.SWITCH($J593,"M","Medium","L","Light","D","Dark")</f>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IF(_xlfn.XLOOKUP(C594,customers!$A$1:$A$1001,customers!$C$1:$C$1001,,0)=0,"Not _Provided",_xlfn.XLOOKUP(C594,customers!$A$1:$A$1001,customers!$C$1:$C$1001,,0))</f>
        <v>Not _Provided</v>
      </c>
      <c r="H594" s="2" t="str">
        <f>_xlfn.XLOOKUP(C594,customers!$A$1:$A$1001,customers!$G$1:$G$1001,,0)</f>
        <v>United States</v>
      </c>
      <c r="I594" t="str">
        <f>INDEX(products!$B$1:$B$49,MATCH($D594,products!$A$1:$A$49,0))</f>
        <v>Ara</v>
      </c>
      <c r="J594" t="str">
        <f>INDEX(products!$C$1:$C$49,MATCH($D594,products!$A$1:$A$49,0))</f>
        <v>M</v>
      </c>
      <c r="K594" s="4">
        <f>INDEX(products!$D$1:$D$49,MATCH($D594,products!$A$1:$A$49,0))</f>
        <v>2.5</v>
      </c>
      <c r="L594" s="5">
        <f>INDEX(products!$E$1:$E$49,MATCH($D594,products!$A$1:$A$49,0))</f>
        <v>25.874999999999996</v>
      </c>
      <c r="M594" s="5">
        <f t="shared" si="9"/>
        <v>51.749999999999993</v>
      </c>
      <c r="N594" t="str" cm="1">
        <f t="array" ref="N594">_xlfn.IFS(I594="Rob","Robusta",I594="Exc","Excelsa",I594="Ara","Arabica",I594="Lib","Liberica")</f>
        <v>Arabica</v>
      </c>
      <c r="O594" t="str" cm="1">
        <f t="array" ref="O594">_xlfn.SWITCH($J594,"M","Medium","L","Light","D","Dark")</f>
        <v>Medium</v>
      </c>
      <c r="P594" t="str">
        <f>_xlfn.XLOOKUP(Table1[[#This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IF(_xlfn.XLOOKUP(C595,customers!$A$1:$A$1001,customers!$C$1:$C$1001,,0)=0,"Not _Provided",_xlfn.XLOOKUP(C595,customers!$A$1:$A$1001,customers!$C$1:$C$1001,,0))</f>
        <v>cverissimogh@theglobeandmail.com</v>
      </c>
      <c r="H595" s="2" t="str">
        <f>_xlfn.XLOOKUP(C595,customers!$A$1:$A$1001,customers!$G$1:$G$1001,,0)</f>
        <v>United Kingdom</v>
      </c>
      <c r="I595" t="str">
        <f>INDEX(products!$B$1:$B$49,MATCH($D595,products!$A$1:$A$49,0))</f>
        <v>Exc</v>
      </c>
      <c r="J595" t="str">
        <f>INDEX(products!$C$1:$C$49,MATCH($D595,products!$A$1:$A$49,0))</f>
        <v>D</v>
      </c>
      <c r="K595" s="4">
        <f>INDEX(products!$D$1:$D$49,MATCH($D595,products!$A$1:$A$49,0))</f>
        <v>2.5</v>
      </c>
      <c r="L595" s="5">
        <f>INDEX(products!$E$1:$E$49,MATCH($D595,products!$A$1:$A$49,0))</f>
        <v>27.945</v>
      </c>
      <c r="M595" s="5">
        <f t="shared" si="9"/>
        <v>27.945</v>
      </c>
      <c r="N595" t="str" cm="1">
        <f t="array" ref="N595">_xlfn.IFS(I595="Rob","Robusta",I595="Exc","Excelsa",I595="Ara","Arabica",I595="Lib","Liberica")</f>
        <v>Excelsa</v>
      </c>
      <c r="O595" t="str" cm="1">
        <f t="array" ref="O595">_xlfn.SWITCH($J595,"M","Medium","L","Light","D","Dark")</f>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IF(_xlfn.XLOOKUP(C596,customers!$A$1:$A$1001,customers!$C$1:$C$1001,,0)=0,"Not _Provided",_xlfn.XLOOKUP(C596,customers!$A$1:$A$1001,customers!$C$1:$C$1001,,0))</f>
        <v>gstarcksgi@abc.net.au</v>
      </c>
      <c r="H596" s="2" t="str">
        <f>_xlfn.XLOOKUP(C596,customers!$A$1:$A$1001,customers!$G$1:$G$1001,,0)</f>
        <v>United States</v>
      </c>
      <c r="I596" t="str">
        <f>INDEX(products!$B$1:$B$49,MATCH($D596,products!$A$1:$A$49,0))</f>
        <v>Ara</v>
      </c>
      <c r="J596" t="str">
        <f>INDEX(products!$C$1:$C$49,MATCH($D596,products!$A$1:$A$49,0))</f>
        <v>L</v>
      </c>
      <c r="K596" s="4">
        <f>INDEX(products!$D$1:$D$49,MATCH($D596,products!$A$1:$A$49,0))</f>
        <v>2.5</v>
      </c>
      <c r="L596" s="5">
        <f>INDEX(products!$E$1:$E$49,MATCH($D596,products!$A$1:$A$49,0))</f>
        <v>29.784999999999997</v>
      </c>
      <c r="M596" s="5">
        <f t="shared" si="9"/>
        <v>59.569999999999993</v>
      </c>
      <c r="N596" t="str" cm="1">
        <f t="array" ref="N596">_xlfn.IFS(I596="Rob","Robusta",I596="Exc","Excelsa",I596="Ara","Arabica",I596="Lib","Liberica")</f>
        <v>Arabica</v>
      </c>
      <c r="O596" t="str" cm="1">
        <f t="array" ref="O596">_xlfn.SWITCH($J596,"M","Medium","L","Light","D","Dark")</f>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IF(_xlfn.XLOOKUP(C597,customers!$A$1:$A$1001,customers!$C$1:$C$1001,,0)=0,"Not _Provided",_xlfn.XLOOKUP(C597,customers!$A$1:$A$1001,customers!$C$1:$C$1001,,0))</f>
        <v>Not _Provided</v>
      </c>
      <c r="H597" s="2" t="str">
        <f>_xlfn.XLOOKUP(C597,customers!$A$1:$A$1001,customers!$G$1:$G$1001,,0)</f>
        <v>United Kingdom</v>
      </c>
      <c r="I597" t="str">
        <f>INDEX(products!$B$1:$B$49,MATCH($D597,products!$A$1:$A$49,0))</f>
        <v>Exc</v>
      </c>
      <c r="J597" t="str">
        <f>INDEX(products!$C$1:$C$49,MATCH($D597,products!$A$1:$A$49,0))</f>
        <v>L</v>
      </c>
      <c r="K597" s="4">
        <f>INDEX(products!$D$1:$D$49,MATCH($D597,products!$A$1:$A$49,0))</f>
        <v>1</v>
      </c>
      <c r="L597" s="5">
        <f>INDEX(products!$E$1:$E$49,MATCH($D597,products!$A$1:$A$49,0))</f>
        <v>14.85</v>
      </c>
      <c r="M597" s="5">
        <f t="shared" si="9"/>
        <v>14.85</v>
      </c>
      <c r="N597" t="str" cm="1">
        <f t="array" ref="N597">_xlfn.IFS(I597="Rob","Robusta",I597="Exc","Excelsa",I597="Ara","Arabica",I597="Lib","Liberica")</f>
        <v>Excelsa</v>
      </c>
      <c r="O597" t="str" cm="1">
        <f t="array" ref="O597">_xlfn.SWITCH($J597,"M","Medium","L","Light","D","Dark")</f>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IF(_xlfn.XLOOKUP(C598,customers!$A$1:$A$1001,customers!$C$1:$C$1001,,0)=0,"Not _Provided",_xlfn.XLOOKUP(C598,customers!$A$1:$A$1001,customers!$C$1:$C$1001,,0))</f>
        <v>kscholardgk@sbwire.com</v>
      </c>
      <c r="H598" s="2" t="str">
        <f>_xlfn.XLOOKUP(C598,customers!$A$1:$A$1001,customers!$G$1:$G$1001,,0)</f>
        <v>United States</v>
      </c>
      <c r="I598" t="str">
        <f>INDEX(products!$B$1:$B$49,MATCH($D598,products!$A$1:$A$49,0))</f>
        <v>Ara</v>
      </c>
      <c r="J598" t="str">
        <f>INDEX(products!$C$1:$C$49,MATCH($D598,products!$A$1:$A$49,0))</f>
        <v>M</v>
      </c>
      <c r="K598" s="4">
        <f>INDEX(products!$D$1:$D$49,MATCH($D598,products!$A$1:$A$49,0))</f>
        <v>0.5</v>
      </c>
      <c r="L598" s="5">
        <f>INDEX(products!$E$1:$E$49,MATCH($D598,products!$A$1:$A$49,0))</f>
        <v>6.75</v>
      </c>
      <c r="M598" s="5">
        <f t="shared" si="9"/>
        <v>33.75</v>
      </c>
      <c r="N598" t="str" cm="1">
        <f t="array" ref="N598">_xlfn.IFS(I598="Rob","Robusta",I598="Exc","Excelsa",I598="Ara","Arabica",I598="Lib","Liberica")</f>
        <v>Arabica</v>
      </c>
      <c r="O598" t="str" cm="1">
        <f t="array" ref="O598">_xlfn.SWITCH($J598,"M","Medium","L","Light","D","Dark")</f>
        <v>Medium</v>
      </c>
      <c r="P598" t="str">
        <f>_xlfn.XLOOKUP(Table1[[#This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IF(_xlfn.XLOOKUP(C599,customers!$A$1:$A$1001,customers!$C$1:$C$1001,,0)=0,"Not _Provided",_xlfn.XLOOKUP(C599,customers!$A$1:$A$1001,customers!$C$1:$C$1001,,0))</f>
        <v>bkindleygl@wikimedia.org</v>
      </c>
      <c r="H599" s="2" t="str">
        <f>_xlfn.XLOOKUP(C599,customers!$A$1:$A$1001,customers!$G$1:$G$1001,,0)</f>
        <v>United States</v>
      </c>
      <c r="I599" t="str">
        <f>INDEX(products!$B$1:$B$49,MATCH($D599,products!$A$1:$A$49,0))</f>
        <v>Lib</v>
      </c>
      <c r="J599" t="str">
        <f>INDEX(products!$C$1:$C$49,MATCH($D599,products!$A$1:$A$49,0))</f>
        <v>L</v>
      </c>
      <c r="K599" s="4">
        <f>INDEX(products!$D$1:$D$49,MATCH($D599,products!$A$1:$A$49,0))</f>
        <v>2.5</v>
      </c>
      <c r="L599" s="5">
        <f>INDEX(products!$E$1:$E$49,MATCH($D599,products!$A$1:$A$49,0))</f>
        <v>36.454999999999998</v>
      </c>
      <c r="M599" s="5">
        <f t="shared" si="9"/>
        <v>145.82</v>
      </c>
      <c r="N599" t="str" cm="1">
        <f t="array" ref="N599">_xlfn.IFS(I599="Rob","Robusta",I599="Exc","Excelsa",I599="Ara","Arabica",I599="Lib","Liberica")</f>
        <v>Liberica</v>
      </c>
      <c r="O599" t="str" cm="1">
        <f t="array" ref="O599">_xlfn.SWITCH($J599,"M","Medium","L","Light","D","Dark")</f>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IF(_xlfn.XLOOKUP(C600,customers!$A$1:$A$1001,customers!$C$1:$C$1001,,0)=0,"Not _Provided",_xlfn.XLOOKUP(C600,customers!$A$1:$A$1001,customers!$C$1:$C$1001,,0))</f>
        <v>khammettgm@dmoz.org</v>
      </c>
      <c r="H600" s="2" t="str">
        <f>_xlfn.XLOOKUP(C600,customers!$A$1:$A$1001,customers!$G$1:$G$1001,,0)</f>
        <v>United States</v>
      </c>
      <c r="I600" t="str">
        <f>INDEX(products!$B$1:$B$49,MATCH($D600,products!$A$1:$A$49,0))</f>
        <v>Rob</v>
      </c>
      <c r="J600" t="str">
        <f>INDEX(products!$C$1:$C$49,MATCH($D600,products!$A$1:$A$49,0))</f>
        <v>M</v>
      </c>
      <c r="K600" s="4">
        <f>INDEX(products!$D$1:$D$49,MATCH($D600,products!$A$1:$A$49,0))</f>
        <v>0.2</v>
      </c>
      <c r="L600" s="5">
        <f>INDEX(products!$E$1:$E$49,MATCH($D600,products!$A$1:$A$49,0))</f>
        <v>2.9849999999999999</v>
      </c>
      <c r="M600" s="5">
        <f t="shared" si="9"/>
        <v>11.94</v>
      </c>
      <c r="N600" t="str" cm="1">
        <f t="array" ref="N600">_xlfn.IFS(I600="Rob","Robusta",I600="Exc","Excelsa",I600="Ara","Arabica",I600="Lib","Liberica")</f>
        <v>Robusta</v>
      </c>
      <c r="O600" t="str" cm="1">
        <f t="array" ref="O600">_xlfn.SWITCH($J600,"M","Medium","L","Light","D","Dark")</f>
        <v>Medium</v>
      </c>
      <c r="P600" t="str">
        <f>_xlfn.XLOOKUP(Table1[[#This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IF(_xlfn.XLOOKUP(C601,customers!$A$1:$A$1001,customers!$C$1:$C$1001,,0)=0,"Not _Provided",_xlfn.XLOOKUP(C601,customers!$A$1:$A$1001,customers!$C$1:$C$1001,,0))</f>
        <v>ahulburtgn@fda.gov</v>
      </c>
      <c r="H601" s="2" t="str">
        <f>_xlfn.XLOOKUP(C601,customers!$A$1:$A$1001,customers!$G$1:$G$1001,,0)</f>
        <v>United States</v>
      </c>
      <c r="I601" t="str">
        <f>INDEX(products!$B$1:$B$49,MATCH($D601,products!$A$1:$A$49,0))</f>
        <v>Ara</v>
      </c>
      <c r="J601" t="str">
        <f>INDEX(products!$C$1:$C$49,MATCH($D601,products!$A$1:$A$49,0))</f>
        <v>D</v>
      </c>
      <c r="K601" s="4">
        <f>INDEX(products!$D$1:$D$49,MATCH($D601,products!$A$1:$A$49,0))</f>
        <v>0.2</v>
      </c>
      <c r="L601" s="5">
        <f>INDEX(products!$E$1:$E$49,MATCH($D601,products!$A$1:$A$49,0))</f>
        <v>2.9849999999999999</v>
      </c>
      <c r="M601" s="5">
        <f t="shared" si="9"/>
        <v>11.94</v>
      </c>
      <c r="N601" t="str" cm="1">
        <f t="array" ref="N601">_xlfn.IFS(I601="Rob","Robusta",I601="Exc","Excelsa",I601="Ara","Arabica",I601="Lib","Liberica")</f>
        <v>Arabica</v>
      </c>
      <c r="O601" t="str" cm="1">
        <f t="array" ref="O601">_xlfn.SWITCH($J601,"M","Medium","L","Light","D","Dark")</f>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IF(_xlfn.XLOOKUP(C602,customers!$A$1:$A$1001,customers!$C$1:$C$1001,,0)=0,"Not _Provided",_xlfn.XLOOKUP(C602,customers!$A$1:$A$1001,customers!$C$1:$C$1001,,0))</f>
        <v>plauritzengo@photobucket.com</v>
      </c>
      <c r="H602" s="2" t="str">
        <f>_xlfn.XLOOKUP(C602,customers!$A$1:$A$1001,customers!$G$1:$G$1001,,0)</f>
        <v>United States</v>
      </c>
      <c r="I602" t="str">
        <f>INDEX(products!$B$1:$B$49,MATCH($D602,products!$A$1:$A$49,0))</f>
        <v>Lib</v>
      </c>
      <c r="J602" t="str">
        <f>INDEX(products!$C$1:$C$49,MATCH($D602,products!$A$1:$A$49,0))</f>
        <v>D</v>
      </c>
      <c r="K602" s="4">
        <f>INDEX(products!$D$1:$D$49,MATCH($D602,products!$A$1:$A$49,0))</f>
        <v>0.5</v>
      </c>
      <c r="L602" s="5">
        <f>INDEX(products!$E$1:$E$49,MATCH($D602,products!$A$1:$A$49,0))</f>
        <v>7.77</v>
      </c>
      <c r="M602" s="5">
        <f t="shared" si="9"/>
        <v>7.77</v>
      </c>
      <c r="N602" t="str" cm="1">
        <f t="array" ref="N602">_xlfn.IFS(I602="Rob","Robusta",I602="Exc","Excelsa",I602="Ara","Arabica",I602="Lib","Liberica")</f>
        <v>Liberica</v>
      </c>
      <c r="O602" t="str" cm="1">
        <f t="array" ref="O602">_xlfn.SWITCH($J602,"M","Medium","L","Light","D","Dark")</f>
        <v>Dark</v>
      </c>
      <c r="P602" t="str">
        <f>_xlfn.XLOOKUP(Table1[[#This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IF(_xlfn.XLOOKUP(C603,customers!$A$1:$A$1001,customers!$C$1:$C$1001,,0)=0,"Not _Provided",_xlfn.XLOOKUP(C603,customers!$A$1:$A$1001,customers!$C$1:$C$1001,,0))</f>
        <v>aburgwingp@redcross.org</v>
      </c>
      <c r="H603" s="2" t="str">
        <f>_xlfn.XLOOKUP(C603,customers!$A$1:$A$1001,customers!$G$1:$G$1001,,0)</f>
        <v>United States</v>
      </c>
      <c r="I603" t="str">
        <f>INDEX(products!$B$1:$B$49,MATCH($D603,products!$A$1:$A$49,0))</f>
        <v>Rob</v>
      </c>
      <c r="J603" t="str">
        <f>INDEX(products!$C$1:$C$49,MATCH($D603,products!$A$1:$A$49,0))</f>
        <v>L</v>
      </c>
      <c r="K603" s="4">
        <f>INDEX(products!$D$1:$D$49,MATCH($D603,products!$A$1:$A$49,0))</f>
        <v>2.5</v>
      </c>
      <c r="L603" s="5">
        <f>INDEX(products!$E$1:$E$49,MATCH($D603,products!$A$1:$A$49,0))</f>
        <v>27.484999999999996</v>
      </c>
      <c r="M603" s="5">
        <f t="shared" si="9"/>
        <v>109.93999999999998</v>
      </c>
      <c r="N603" t="str" cm="1">
        <f t="array" ref="N603">_xlfn.IFS(I603="Rob","Robusta",I603="Exc","Excelsa",I603="Ara","Arabica",I603="Lib","Liberica")</f>
        <v>Robusta</v>
      </c>
      <c r="O603" t="str" cm="1">
        <f t="array" ref="O603">_xlfn.SWITCH($J603,"M","Medium","L","Light","D","Dark")</f>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IF(_xlfn.XLOOKUP(C604,customers!$A$1:$A$1001,customers!$C$1:$C$1001,,0)=0,"Not _Provided",_xlfn.XLOOKUP(C604,customers!$A$1:$A$1001,customers!$C$1:$C$1001,,0))</f>
        <v>erolingq@google.fr</v>
      </c>
      <c r="H604" s="2" t="str">
        <f>_xlfn.XLOOKUP(C604,customers!$A$1:$A$1001,customers!$G$1:$G$1001,,0)</f>
        <v>United States</v>
      </c>
      <c r="I604" t="str">
        <f>INDEX(products!$B$1:$B$49,MATCH($D604,products!$A$1:$A$49,0))</f>
        <v>Exc</v>
      </c>
      <c r="J604" t="str">
        <f>INDEX(products!$C$1:$C$49,MATCH($D604,products!$A$1:$A$49,0))</f>
        <v>L</v>
      </c>
      <c r="K604" s="4">
        <f>INDEX(products!$D$1:$D$49,MATCH($D604,products!$A$1:$A$49,0))</f>
        <v>0.2</v>
      </c>
      <c r="L604" s="5">
        <f>INDEX(products!$E$1:$E$49,MATCH($D604,products!$A$1:$A$49,0))</f>
        <v>4.4550000000000001</v>
      </c>
      <c r="M604" s="5">
        <f t="shared" si="9"/>
        <v>22.274999999999999</v>
      </c>
      <c r="N604" t="str" cm="1">
        <f t="array" ref="N604">_xlfn.IFS(I604="Rob","Robusta",I604="Exc","Excelsa",I604="Ara","Arabica",I604="Lib","Liberica")</f>
        <v>Excelsa</v>
      </c>
      <c r="O604" t="str" cm="1">
        <f t="array" ref="O604">_xlfn.SWITCH($J604,"M","Medium","L","Light","D","Dark")</f>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IF(_xlfn.XLOOKUP(C605,customers!$A$1:$A$1001,customers!$C$1:$C$1001,,0)=0,"Not _Provided",_xlfn.XLOOKUP(C605,customers!$A$1:$A$1001,customers!$C$1:$C$1001,,0))</f>
        <v>dfowlegr@epa.gov</v>
      </c>
      <c r="H605" s="2" t="str">
        <f>_xlfn.XLOOKUP(C605,customers!$A$1:$A$1001,customers!$G$1:$G$1001,,0)</f>
        <v>United States</v>
      </c>
      <c r="I605" t="str">
        <f>INDEX(products!$B$1:$B$49,MATCH($D605,products!$A$1:$A$49,0))</f>
        <v>Rob</v>
      </c>
      <c r="J605" t="str">
        <f>INDEX(products!$C$1:$C$49,MATCH($D605,products!$A$1:$A$49,0))</f>
        <v>M</v>
      </c>
      <c r="K605" s="4">
        <f>INDEX(products!$D$1:$D$49,MATCH($D605,products!$A$1:$A$49,0))</f>
        <v>0.2</v>
      </c>
      <c r="L605" s="5">
        <f>INDEX(products!$E$1:$E$49,MATCH($D605,products!$A$1:$A$49,0))</f>
        <v>2.9849999999999999</v>
      </c>
      <c r="M605" s="5">
        <f t="shared" si="9"/>
        <v>8.9550000000000001</v>
      </c>
      <c r="N605" t="str" cm="1">
        <f t="array" ref="N605">_xlfn.IFS(I605="Rob","Robusta",I605="Exc","Excelsa",I605="Ara","Arabica",I605="Lib","Liberica")</f>
        <v>Robusta</v>
      </c>
      <c r="O605" t="str" cm="1">
        <f t="array" ref="O605">_xlfn.SWITCH($J605,"M","Medium","L","Light","D","Dark")</f>
        <v>Medium</v>
      </c>
      <c r="P605" t="str">
        <f>_xlfn.XLOOKUP(Table1[[#This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IF(_xlfn.XLOOKUP(C606,customers!$A$1:$A$1001,customers!$C$1:$C$1001,,0)=0,"Not _Provided",_xlfn.XLOOKUP(C606,customers!$A$1:$A$1001,customers!$C$1:$C$1001,,0))</f>
        <v>Not _Provided</v>
      </c>
      <c r="H606" s="2" t="str">
        <f>_xlfn.XLOOKUP(C606,customers!$A$1:$A$1001,customers!$G$1:$G$1001,,0)</f>
        <v>Ireland</v>
      </c>
      <c r="I606" t="str">
        <f>INDEX(products!$B$1:$B$49,MATCH($D606,products!$A$1:$A$49,0))</f>
        <v>Lib</v>
      </c>
      <c r="J606" t="str">
        <f>INDEX(products!$C$1:$C$49,MATCH($D606,products!$A$1:$A$49,0))</f>
        <v>D</v>
      </c>
      <c r="K606" s="4">
        <f>INDEX(products!$D$1:$D$49,MATCH($D606,products!$A$1:$A$49,0))</f>
        <v>2.5</v>
      </c>
      <c r="L606" s="5">
        <f>INDEX(products!$E$1:$E$49,MATCH($D606,products!$A$1:$A$49,0))</f>
        <v>29.784999999999997</v>
      </c>
      <c r="M606" s="5">
        <f t="shared" si="9"/>
        <v>119.13999999999999</v>
      </c>
      <c r="N606" t="str" cm="1">
        <f t="array" ref="N606">_xlfn.IFS(I606="Rob","Robusta",I606="Exc","Excelsa",I606="Ara","Arabica",I606="Lib","Liberica")</f>
        <v>Liberica</v>
      </c>
      <c r="O606" t="str" cm="1">
        <f t="array" ref="O606">_xlfn.SWITCH($J606,"M","Medium","L","Light","D","Dark")</f>
        <v>Dark</v>
      </c>
      <c r="P606" t="str">
        <f>_xlfn.XLOOKUP(Table1[[#This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IF(_xlfn.XLOOKUP(C607,customers!$A$1:$A$1001,customers!$C$1:$C$1001,,0)=0,"Not _Provided",_xlfn.XLOOKUP(C607,customers!$A$1:$A$1001,customers!$C$1:$C$1001,,0))</f>
        <v>wpowleslandgt@soundcloud.com</v>
      </c>
      <c r="H607" s="2" t="str">
        <f>_xlfn.XLOOKUP(C607,customers!$A$1:$A$1001,customers!$G$1:$G$1001,,0)</f>
        <v>United States</v>
      </c>
      <c r="I607" t="str">
        <f>INDEX(products!$B$1:$B$49,MATCH($D607,products!$A$1:$A$49,0))</f>
        <v>Ara</v>
      </c>
      <c r="J607" t="str">
        <f>INDEX(products!$C$1:$C$49,MATCH($D607,products!$A$1:$A$49,0))</f>
        <v>L</v>
      </c>
      <c r="K607" s="4">
        <f>INDEX(products!$D$1:$D$49,MATCH($D607,products!$A$1:$A$49,0))</f>
        <v>2.5</v>
      </c>
      <c r="L607" s="5">
        <f>INDEX(products!$E$1:$E$49,MATCH($D607,products!$A$1:$A$49,0))</f>
        <v>29.784999999999997</v>
      </c>
      <c r="M607" s="5">
        <f t="shared" si="9"/>
        <v>148.92499999999998</v>
      </c>
      <c r="N607" t="str" cm="1">
        <f t="array" ref="N607">_xlfn.IFS(I607="Rob","Robusta",I607="Exc","Excelsa",I607="Ara","Arabica",I607="Lib","Liberica")</f>
        <v>Arabica</v>
      </c>
      <c r="O607" t="str" cm="1">
        <f t="array" ref="O607">_xlfn.SWITCH($J607,"M","Medium","L","Light","D","Dark")</f>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IF(_xlfn.XLOOKUP(C608,customers!$A$1:$A$1001,customers!$C$1:$C$1001,,0)=0,"Not _Provided",_xlfn.XLOOKUP(C608,customers!$A$1:$A$1001,customers!$C$1:$C$1001,,0))</f>
        <v>cverissimogh@theglobeandmail.com</v>
      </c>
      <c r="H608" s="2" t="str">
        <f>_xlfn.XLOOKUP(C608,customers!$A$1:$A$1001,customers!$G$1:$G$1001,,0)</f>
        <v>United Kingdom</v>
      </c>
      <c r="I608" t="str">
        <f>INDEX(products!$B$1:$B$49,MATCH($D608,products!$A$1:$A$49,0))</f>
        <v>Lib</v>
      </c>
      <c r="J608" t="str">
        <f>INDEX(products!$C$1:$C$49,MATCH($D608,products!$A$1:$A$49,0))</f>
        <v>L</v>
      </c>
      <c r="K608" s="4">
        <f>INDEX(products!$D$1:$D$49,MATCH($D608,products!$A$1:$A$49,0))</f>
        <v>2.5</v>
      </c>
      <c r="L608" s="5">
        <f>INDEX(products!$E$1:$E$49,MATCH($D608,products!$A$1:$A$49,0))</f>
        <v>36.454999999999998</v>
      </c>
      <c r="M608" s="5">
        <f t="shared" si="9"/>
        <v>109.36499999999999</v>
      </c>
      <c r="N608" t="str" cm="1">
        <f t="array" ref="N608">_xlfn.IFS(I608="Rob","Robusta",I608="Exc","Excelsa",I608="Ara","Arabica",I608="Lib","Liberica")</f>
        <v>Liberica</v>
      </c>
      <c r="O608" t="str" cm="1">
        <f t="array" ref="O608">_xlfn.SWITCH($J608,"M","Medium","L","Light","D","Dark")</f>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IF(_xlfn.XLOOKUP(C609,customers!$A$1:$A$1001,customers!$C$1:$C$1001,,0)=0,"Not _Provided",_xlfn.XLOOKUP(C609,customers!$A$1:$A$1001,customers!$C$1:$C$1001,,0))</f>
        <v>lellinghamgv@sciencedaily.com</v>
      </c>
      <c r="H609" s="2" t="str">
        <f>_xlfn.XLOOKUP(C609,customers!$A$1:$A$1001,customers!$G$1:$G$1001,,0)</f>
        <v>United States</v>
      </c>
      <c r="I609" t="str">
        <f>INDEX(products!$B$1:$B$49,MATCH($D609,products!$A$1:$A$49,0))</f>
        <v>Exc</v>
      </c>
      <c r="J609" t="str">
        <f>INDEX(products!$C$1:$C$49,MATCH($D609,products!$A$1:$A$49,0))</f>
        <v>D</v>
      </c>
      <c r="K609" s="4">
        <f>INDEX(products!$D$1:$D$49,MATCH($D609,products!$A$1:$A$49,0))</f>
        <v>0.2</v>
      </c>
      <c r="L609" s="5">
        <f>INDEX(products!$E$1:$E$49,MATCH($D609,products!$A$1:$A$49,0))</f>
        <v>3.645</v>
      </c>
      <c r="M609" s="5">
        <f t="shared" si="9"/>
        <v>3.645</v>
      </c>
      <c r="N609" t="str" cm="1">
        <f t="array" ref="N609">_xlfn.IFS(I609="Rob","Robusta",I609="Exc","Excelsa",I609="Ara","Arabica",I609="Lib","Liberica")</f>
        <v>Excelsa</v>
      </c>
      <c r="O609" t="str" cm="1">
        <f t="array" ref="O609">_xlfn.SWITCH($J609,"M","Medium","L","Light","D","Dark")</f>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IF(_xlfn.XLOOKUP(C610,customers!$A$1:$A$1001,customers!$C$1:$C$1001,,0)=0,"Not _Provided",_xlfn.XLOOKUP(C610,customers!$A$1:$A$1001,customers!$C$1:$C$1001,,0))</f>
        <v>Not _Provided</v>
      </c>
      <c r="H610" s="2" t="str">
        <f>_xlfn.XLOOKUP(C610,customers!$A$1:$A$1001,customers!$G$1:$G$1001,,0)</f>
        <v>United States</v>
      </c>
      <c r="I610" t="str">
        <f>INDEX(products!$B$1:$B$49,MATCH($D610,products!$A$1:$A$49,0))</f>
        <v>Exc</v>
      </c>
      <c r="J610" t="str">
        <f>INDEX(products!$C$1:$C$49,MATCH($D610,products!$A$1:$A$49,0))</f>
        <v>D</v>
      </c>
      <c r="K610" s="4">
        <f>INDEX(products!$D$1:$D$49,MATCH($D610,products!$A$1:$A$49,0))</f>
        <v>2.5</v>
      </c>
      <c r="L610" s="5">
        <f>INDEX(products!$E$1:$E$49,MATCH($D610,products!$A$1:$A$49,0))</f>
        <v>27.945</v>
      </c>
      <c r="M610" s="5">
        <f t="shared" si="9"/>
        <v>55.89</v>
      </c>
      <c r="N610" t="str" cm="1">
        <f t="array" ref="N610">_xlfn.IFS(I610="Rob","Robusta",I610="Exc","Excelsa",I610="Ara","Arabica",I610="Lib","Liberica")</f>
        <v>Excelsa</v>
      </c>
      <c r="O610" t="str" cm="1">
        <f t="array" ref="O610">_xlfn.SWITCH($J610,"M","Medium","L","Light","D","Dark")</f>
        <v>Dark</v>
      </c>
      <c r="P610" t="str">
        <f>_xlfn.XLOOKUP(Table1[[#This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IF(_xlfn.XLOOKUP(C611,customers!$A$1:$A$1001,customers!$C$1:$C$1001,,0)=0,"Not _Provided",_xlfn.XLOOKUP(C611,customers!$A$1:$A$1001,customers!$C$1:$C$1001,,0))</f>
        <v>afendtgx@forbes.com</v>
      </c>
      <c r="H611" s="2" t="str">
        <f>_xlfn.XLOOKUP(C611,customers!$A$1:$A$1001,customers!$G$1:$G$1001,,0)</f>
        <v>United States</v>
      </c>
      <c r="I611" t="str">
        <f>INDEX(products!$B$1:$B$49,MATCH($D611,products!$A$1:$A$49,0))</f>
        <v>Lib</v>
      </c>
      <c r="J611" t="str">
        <f>INDEX(products!$C$1:$C$49,MATCH($D611,products!$A$1:$A$49,0))</f>
        <v>M</v>
      </c>
      <c r="K611" s="4">
        <f>INDEX(products!$D$1:$D$49,MATCH($D611,products!$A$1:$A$49,0))</f>
        <v>0.2</v>
      </c>
      <c r="L611" s="5">
        <f>INDEX(products!$E$1:$E$49,MATCH($D611,products!$A$1:$A$49,0))</f>
        <v>4.3650000000000002</v>
      </c>
      <c r="M611" s="5">
        <f t="shared" si="9"/>
        <v>26.19</v>
      </c>
      <c r="N611" t="str" cm="1">
        <f t="array" ref="N611">_xlfn.IFS(I611="Rob","Robusta",I611="Exc","Excelsa",I611="Ara","Arabica",I611="Lib","Liberica")</f>
        <v>Liberica</v>
      </c>
      <c r="O611" t="str" cm="1">
        <f t="array" ref="O611">_xlfn.SWITCH($J611,"M","Medium","L","Light","D","Dark")</f>
        <v>Medium</v>
      </c>
      <c r="P611" t="str">
        <f>_xlfn.XLOOKUP(Table1[[#This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IF(_xlfn.XLOOKUP(C612,customers!$A$1:$A$1001,customers!$C$1:$C$1001,,0)=0,"Not _Provided",_xlfn.XLOOKUP(C612,customers!$A$1:$A$1001,customers!$C$1:$C$1001,,0))</f>
        <v>acleyburngy@lycos.com</v>
      </c>
      <c r="H612" s="2" t="str">
        <f>_xlfn.XLOOKUP(C612,customers!$A$1:$A$1001,customers!$G$1:$G$1001,,0)</f>
        <v>United States</v>
      </c>
      <c r="I612" t="str">
        <f>INDEX(products!$B$1:$B$49,MATCH($D612,products!$A$1:$A$49,0))</f>
        <v>Rob</v>
      </c>
      <c r="J612" t="str">
        <f>INDEX(products!$C$1:$C$49,MATCH($D612,products!$A$1:$A$49,0))</f>
        <v>M</v>
      </c>
      <c r="K612" s="4">
        <f>INDEX(products!$D$1:$D$49,MATCH($D612,products!$A$1:$A$49,0))</f>
        <v>1</v>
      </c>
      <c r="L612" s="5">
        <f>INDEX(products!$E$1:$E$49,MATCH($D612,products!$A$1:$A$49,0))</f>
        <v>9.9499999999999993</v>
      </c>
      <c r="M612" s="5">
        <f t="shared" si="9"/>
        <v>39.799999999999997</v>
      </c>
      <c r="N612" t="str" cm="1">
        <f t="array" ref="N612">_xlfn.IFS(I612="Rob","Robusta",I612="Exc","Excelsa",I612="Ara","Arabica",I612="Lib","Liberica")</f>
        <v>Robusta</v>
      </c>
      <c r="O612" t="str" cm="1">
        <f t="array" ref="O612">_xlfn.SWITCH($J612,"M","Medium","L","Light","D","Dark")</f>
        <v>Medium</v>
      </c>
      <c r="P612" t="str">
        <f>_xlfn.XLOOKUP(Table1[[#This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IF(_xlfn.XLOOKUP(C613,customers!$A$1:$A$1001,customers!$C$1:$C$1001,,0)=0,"Not _Provided",_xlfn.XLOOKUP(C613,customers!$A$1:$A$1001,customers!$C$1:$C$1001,,0))</f>
        <v>tcastiglionegz@xing.com</v>
      </c>
      <c r="H613" s="2" t="str">
        <f>_xlfn.XLOOKUP(C613,customers!$A$1:$A$1001,customers!$G$1:$G$1001,,0)</f>
        <v>United States</v>
      </c>
      <c r="I613" t="str">
        <f>INDEX(products!$B$1:$B$49,MATCH($D613,products!$A$1:$A$49,0))</f>
        <v>Exc</v>
      </c>
      <c r="J613" t="str">
        <f>INDEX(products!$C$1:$C$49,MATCH($D613,products!$A$1:$A$49,0))</f>
        <v>L</v>
      </c>
      <c r="K613" s="4">
        <f>INDEX(products!$D$1:$D$49,MATCH($D613,products!$A$1:$A$49,0))</f>
        <v>2.5</v>
      </c>
      <c r="L613" s="5">
        <f>INDEX(products!$E$1:$E$49,MATCH($D613,products!$A$1:$A$49,0))</f>
        <v>34.154999999999994</v>
      </c>
      <c r="M613" s="5">
        <f t="shared" si="9"/>
        <v>68.309999999999988</v>
      </c>
      <c r="N613" t="str" cm="1">
        <f t="array" ref="N613">_xlfn.IFS(I613="Rob","Robusta",I613="Exc","Excelsa",I613="Ara","Arabica",I613="Lib","Liberica")</f>
        <v>Excelsa</v>
      </c>
      <c r="O613" t="str" cm="1">
        <f t="array" ref="O613">_xlfn.SWITCH($J613,"M","Medium","L","Light","D","Dark")</f>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IF(_xlfn.XLOOKUP(C614,customers!$A$1:$A$1001,customers!$C$1:$C$1001,,0)=0,"Not _Provided",_xlfn.XLOOKUP(C614,customers!$A$1:$A$1001,customers!$C$1:$C$1001,,0))</f>
        <v>Not _Provided</v>
      </c>
      <c r="H614" s="2" t="str">
        <f>_xlfn.XLOOKUP(C614,customers!$A$1:$A$1001,customers!$G$1:$G$1001,,0)</f>
        <v>Ireland</v>
      </c>
      <c r="I614" t="str">
        <f>INDEX(products!$B$1:$B$49,MATCH($D614,products!$A$1:$A$49,0))</f>
        <v>Ara</v>
      </c>
      <c r="J614" t="str">
        <f>INDEX(products!$C$1:$C$49,MATCH($D614,products!$A$1:$A$49,0))</f>
        <v>M</v>
      </c>
      <c r="K614" s="4">
        <f>INDEX(products!$D$1:$D$49,MATCH($D614,products!$A$1:$A$49,0))</f>
        <v>0.2</v>
      </c>
      <c r="L614" s="5">
        <f>INDEX(products!$E$1:$E$49,MATCH($D614,products!$A$1:$A$49,0))</f>
        <v>3.375</v>
      </c>
      <c r="M614" s="5">
        <f t="shared" si="9"/>
        <v>13.5</v>
      </c>
      <c r="N614" t="str" cm="1">
        <f t="array" ref="N614">_xlfn.IFS(I614="Rob","Robusta",I614="Exc","Excelsa",I614="Ara","Arabica",I614="Lib","Liberica")</f>
        <v>Arabica</v>
      </c>
      <c r="O614" t="str" cm="1">
        <f t="array" ref="O614">_xlfn.SWITCH($J614,"M","Medium","L","Light","D","Dark")</f>
        <v>Medium</v>
      </c>
      <c r="P614" t="str">
        <f>_xlfn.XLOOKUP(Table1[[#This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IF(_xlfn.XLOOKUP(C615,customers!$A$1:$A$1001,customers!$C$1:$C$1001,,0)=0,"Not _Provided",_xlfn.XLOOKUP(C615,customers!$A$1:$A$1001,customers!$C$1:$C$1001,,0))</f>
        <v>Not _Provided</v>
      </c>
      <c r="H615" s="2" t="str">
        <f>_xlfn.XLOOKUP(C615,customers!$A$1:$A$1001,customers!$G$1:$G$1001,,0)</f>
        <v>United States</v>
      </c>
      <c r="I615" t="str">
        <f>INDEX(products!$B$1:$B$49,MATCH($D615,products!$A$1:$A$49,0))</f>
        <v>Rob</v>
      </c>
      <c r="J615" t="str">
        <f>INDEX(products!$C$1:$C$49,MATCH($D615,products!$A$1:$A$49,0))</f>
        <v>M</v>
      </c>
      <c r="K615" s="4">
        <f>INDEX(products!$D$1:$D$49,MATCH($D615,products!$A$1:$A$49,0))</f>
        <v>0.5</v>
      </c>
      <c r="L615" s="5">
        <f>INDEX(products!$E$1:$E$49,MATCH($D615,products!$A$1:$A$49,0))</f>
        <v>5.97</v>
      </c>
      <c r="M615" s="5">
        <f t="shared" si="9"/>
        <v>5.97</v>
      </c>
      <c r="N615" t="str" cm="1">
        <f t="array" ref="N615">_xlfn.IFS(I615="Rob","Robusta",I615="Exc","Excelsa",I615="Ara","Arabica",I615="Lib","Liberica")</f>
        <v>Robusta</v>
      </c>
      <c r="O615" t="str" cm="1">
        <f t="array" ref="O615">_xlfn.SWITCH($J615,"M","Medium","L","Light","D","Dark")</f>
        <v>Medium</v>
      </c>
      <c r="P615" t="str">
        <f>_xlfn.XLOOKUP(Table1[[#This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IF(_xlfn.XLOOKUP(C616,customers!$A$1:$A$1001,customers!$C$1:$C$1001,,0)=0,"Not _Provided",_xlfn.XLOOKUP(C616,customers!$A$1:$A$1001,customers!$C$1:$C$1001,,0))</f>
        <v>cverissimogh@theglobeandmail.com</v>
      </c>
      <c r="H616" s="2" t="str">
        <f>_xlfn.XLOOKUP(C616,customers!$A$1:$A$1001,customers!$G$1:$G$1001,,0)</f>
        <v>United Kingdom</v>
      </c>
      <c r="I616" t="str">
        <f>INDEX(products!$B$1:$B$49,MATCH($D616,products!$A$1:$A$49,0))</f>
        <v>Rob</v>
      </c>
      <c r="J616" t="str">
        <f>INDEX(products!$C$1:$C$49,MATCH($D616,products!$A$1:$A$49,0))</f>
        <v>M</v>
      </c>
      <c r="K616" s="4">
        <f>INDEX(products!$D$1:$D$49,MATCH($D616,products!$A$1:$A$49,0))</f>
        <v>0.5</v>
      </c>
      <c r="L616" s="5">
        <f>INDEX(products!$E$1:$E$49,MATCH($D616,products!$A$1:$A$49,0))</f>
        <v>5.97</v>
      </c>
      <c r="M616" s="5">
        <f t="shared" si="9"/>
        <v>29.849999999999998</v>
      </c>
      <c r="N616" t="str" cm="1">
        <f t="array" ref="N616">_xlfn.IFS(I616="Rob","Robusta",I616="Exc","Excelsa",I616="Ara","Arabica",I616="Lib","Liberica")</f>
        <v>Robusta</v>
      </c>
      <c r="O616" t="str" cm="1">
        <f t="array" ref="O616">_xlfn.SWITCH($J616,"M","Medium","L","Light","D","Dark")</f>
        <v>Medium</v>
      </c>
      <c r="P616" t="str">
        <f>_xlfn.XLOOKUP(Table1[[#This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IF(_xlfn.XLOOKUP(C617,customers!$A$1:$A$1001,customers!$C$1:$C$1001,,0)=0,"Not _Provided",_xlfn.XLOOKUP(C617,customers!$A$1:$A$1001,customers!$C$1:$C$1001,,0))</f>
        <v>scouronneh3@mozilla.org</v>
      </c>
      <c r="H617" s="2" t="str">
        <f>_xlfn.XLOOKUP(C617,customers!$A$1:$A$1001,customers!$G$1:$G$1001,,0)</f>
        <v>United States</v>
      </c>
      <c r="I617" t="str">
        <f>INDEX(products!$B$1:$B$49,MATCH($D617,products!$A$1:$A$49,0))</f>
        <v>Lib</v>
      </c>
      <c r="J617" t="str">
        <f>INDEX(products!$C$1:$C$49,MATCH($D617,products!$A$1:$A$49,0))</f>
        <v>L</v>
      </c>
      <c r="K617" s="4">
        <f>INDEX(products!$D$1:$D$49,MATCH($D617,products!$A$1:$A$49,0))</f>
        <v>2.5</v>
      </c>
      <c r="L617" s="5">
        <f>INDEX(products!$E$1:$E$49,MATCH($D617,products!$A$1:$A$49,0))</f>
        <v>36.454999999999998</v>
      </c>
      <c r="M617" s="5">
        <f t="shared" si="9"/>
        <v>72.91</v>
      </c>
      <c r="N617" t="str" cm="1">
        <f t="array" ref="N617">_xlfn.IFS(I617="Rob","Robusta",I617="Exc","Excelsa",I617="Ara","Arabica",I617="Lib","Liberica")</f>
        <v>Liberica</v>
      </c>
      <c r="O617" t="str" cm="1">
        <f t="array" ref="O617">_xlfn.SWITCH($J617,"M","Medium","L","Light","D","Dark")</f>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IF(_xlfn.XLOOKUP(C618,customers!$A$1:$A$1001,customers!$C$1:$C$1001,,0)=0,"Not _Provided",_xlfn.XLOOKUP(C618,customers!$A$1:$A$1001,customers!$C$1:$C$1001,,0))</f>
        <v>lflippellih4@github.io</v>
      </c>
      <c r="H618" s="2" t="str">
        <f>_xlfn.XLOOKUP(C618,customers!$A$1:$A$1001,customers!$G$1:$G$1001,,0)</f>
        <v>United Kingdom</v>
      </c>
      <c r="I618" t="str">
        <f>INDEX(products!$B$1:$B$49,MATCH($D618,products!$A$1:$A$49,0))</f>
        <v>Exc</v>
      </c>
      <c r="J618" t="str">
        <f>INDEX(products!$C$1:$C$49,MATCH($D618,products!$A$1:$A$49,0))</f>
        <v>M</v>
      </c>
      <c r="K618" s="4">
        <f>INDEX(products!$D$1:$D$49,MATCH($D618,products!$A$1:$A$49,0))</f>
        <v>2.5</v>
      </c>
      <c r="L618" s="5">
        <f>INDEX(products!$E$1:$E$49,MATCH($D618,products!$A$1:$A$49,0))</f>
        <v>31.624999999999996</v>
      </c>
      <c r="M618" s="5">
        <f t="shared" si="9"/>
        <v>126.49999999999999</v>
      </c>
      <c r="N618" t="str" cm="1">
        <f t="array" ref="N618">_xlfn.IFS(I618="Rob","Robusta",I618="Exc","Excelsa",I618="Ara","Arabica",I618="Lib","Liberica")</f>
        <v>Excelsa</v>
      </c>
      <c r="O618" t="str" cm="1">
        <f t="array" ref="O618">_xlfn.SWITCH($J618,"M","Medium","L","Light","D","Dark")</f>
        <v>Medium</v>
      </c>
      <c r="P618" t="str">
        <f>_xlfn.XLOOKUP(Table1[[#This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IF(_xlfn.XLOOKUP(C619,customers!$A$1:$A$1001,customers!$C$1:$C$1001,,0)=0,"Not _Provided",_xlfn.XLOOKUP(C619,customers!$A$1:$A$1001,customers!$C$1:$C$1001,,0))</f>
        <v>relizabethh5@live.com</v>
      </c>
      <c r="H619" s="2" t="str">
        <f>_xlfn.XLOOKUP(C619,customers!$A$1:$A$1001,customers!$G$1:$G$1001,,0)</f>
        <v>United States</v>
      </c>
      <c r="I619" t="str">
        <f>INDEX(products!$B$1:$B$49,MATCH($D619,products!$A$1:$A$49,0))</f>
        <v>Lib</v>
      </c>
      <c r="J619" t="str">
        <f>INDEX(products!$C$1:$C$49,MATCH($D619,products!$A$1:$A$49,0))</f>
        <v>M</v>
      </c>
      <c r="K619" s="4">
        <f>INDEX(products!$D$1:$D$49,MATCH($D619,products!$A$1:$A$49,0))</f>
        <v>2.5</v>
      </c>
      <c r="L619" s="5">
        <f>INDEX(products!$E$1:$E$49,MATCH($D619,products!$A$1:$A$49,0))</f>
        <v>33.464999999999996</v>
      </c>
      <c r="M619" s="5">
        <f t="shared" si="9"/>
        <v>33.464999999999996</v>
      </c>
      <c r="N619" t="str" cm="1">
        <f t="array" ref="N619">_xlfn.IFS(I619="Rob","Robusta",I619="Exc","Excelsa",I619="Ara","Arabica",I619="Lib","Liberica")</f>
        <v>Liberica</v>
      </c>
      <c r="O619" t="str" cm="1">
        <f t="array" ref="O619">_xlfn.SWITCH($J619,"M","Medium","L","Light","D","Dark")</f>
        <v>Medium</v>
      </c>
      <c r="P619" t="str">
        <f>_xlfn.XLOOKUP(Table1[[#This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IF(_xlfn.XLOOKUP(C620,customers!$A$1:$A$1001,customers!$C$1:$C$1001,,0)=0,"Not _Provided",_xlfn.XLOOKUP(C620,customers!$A$1:$A$1001,customers!$C$1:$C$1001,,0))</f>
        <v>irenhardh6@i2i.jp</v>
      </c>
      <c r="H620" s="2" t="str">
        <f>_xlfn.XLOOKUP(C620,customers!$A$1:$A$1001,customers!$G$1:$G$1001,,0)</f>
        <v>United States</v>
      </c>
      <c r="I620" t="str">
        <f>INDEX(products!$B$1:$B$49,MATCH($D620,products!$A$1:$A$49,0))</f>
        <v>Exc</v>
      </c>
      <c r="J620" t="str">
        <f>INDEX(products!$C$1:$C$49,MATCH($D620,products!$A$1:$A$49,0))</f>
        <v>D</v>
      </c>
      <c r="K620" s="4">
        <f>INDEX(products!$D$1:$D$49,MATCH($D620,products!$A$1:$A$49,0))</f>
        <v>1</v>
      </c>
      <c r="L620" s="5">
        <f>INDEX(products!$E$1:$E$49,MATCH($D620,products!$A$1:$A$49,0))</f>
        <v>12.15</v>
      </c>
      <c r="M620" s="5">
        <f t="shared" si="9"/>
        <v>72.900000000000006</v>
      </c>
      <c r="N620" t="str" cm="1">
        <f t="array" ref="N620">_xlfn.IFS(I620="Rob","Robusta",I620="Exc","Excelsa",I620="Ara","Arabica",I620="Lib","Liberica")</f>
        <v>Excelsa</v>
      </c>
      <c r="O620" t="str" cm="1">
        <f t="array" ref="O620">_xlfn.SWITCH($J620,"M","Medium","L","Light","D","Dark")</f>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IF(_xlfn.XLOOKUP(C621,customers!$A$1:$A$1001,customers!$C$1:$C$1001,,0)=0,"Not _Provided",_xlfn.XLOOKUP(C621,customers!$A$1:$A$1001,customers!$C$1:$C$1001,,0))</f>
        <v>wrocheh7@xinhuanet.com</v>
      </c>
      <c r="H621" s="2" t="str">
        <f>_xlfn.XLOOKUP(C621,customers!$A$1:$A$1001,customers!$G$1:$G$1001,,0)</f>
        <v>United States</v>
      </c>
      <c r="I621" t="str">
        <f>INDEX(products!$B$1:$B$49,MATCH($D621,products!$A$1:$A$49,0))</f>
        <v>Lib</v>
      </c>
      <c r="J621" t="str">
        <f>INDEX(products!$C$1:$C$49,MATCH($D621,products!$A$1:$A$49,0))</f>
        <v>D</v>
      </c>
      <c r="K621" s="4">
        <f>INDEX(products!$D$1:$D$49,MATCH($D621,products!$A$1:$A$49,0))</f>
        <v>0.5</v>
      </c>
      <c r="L621" s="5">
        <f>INDEX(products!$E$1:$E$49,MATCH($D621,products!$A$1:$A$49,0))</f>
        <v>7.77</v>
      </c>
      <c r="M621" s="5">
        <f t="shared" si="9"/>
        <v>15.54</v>
      </c>
      <c r="N621" t="str" cm="1">
        <f t="array" ref="N621">_xlfn.IFS(I621="Rob","Robusta",I621="Exc","Excelsa",I621="Ara","Arabica",I621="Lib","Liberica")</f>
        <v>Liberica</v>
      </c>
      <c r="O621" t="str" cm="1">
        <f t="array" ref="O621">_xlfn.SWITCH($J621,"M","Medium","L","Light","D","Dark")</f>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IF(_xlfn.XLOOKUP(C622,customers!$A$1:$A$1001,customers!$C$1:$C$1001,,0)=0,"Not _Provided",_xlfn.XLOOKUP(C622,customers!$A$1:$A$1001,customers!$C$1:$C$1001,,0))</f>
        <v>lalawayhh@weather.com</v>
      </c>
      <c r="H622" s="2" t="str">
        <f>_xlfn.XLOOKUP(C622,customers!$A$1:$A$1001,customers!$G$1:$G$1001,,0)</f>
        <v>United States</v>
      </c>
      <c r="I622" t="str">
        <f>INDEX(products!$B$1:$B$49,MATCH($D622,products!$A$1:$A$49,0))</f>
        <v>Ara</v>
      </c>
      <c r="J622" t="str">
        <f>INDEX(products!$C$1:$C$49,MATCH($D622,products!$A$1:$A$49,0))</f>
        <v>M</v>
      </c>
      <c r="K622" s="4">
        <f>INDEX(products!$D$1:$D$49,MATCH($D622,products!$A$1:$A$49,0))</f>
        <v>0.2</v>
      </c>
      <c r="L622" s="5">
        <f>INDEX(products!$E$1:$E$49,MATCH($D622,products!$A$1:$A$49,0))</f>
        <v>3.375</v>
      </c>
      <c r="M622" s="5">
        <f t="shared" si="9"/>
        <v>20.25</v>
      </c>
      <c r="N622" t="str" cm="1">
        <f t="array" ref="N622">_xlfn.IFS(I622="Rob","Robusta",I622="Exc","Excelsa",I622="Ara","Arabica",I622="Lib","Liberica")</f>
        <v>Arabica</v>
      </c>
      <c r="O622" t="str" cm="1">
        <f t="array" ref="O622">_xlfn.SWITCH($J622,"M","Medium","L","Light","D","Dark")</f>
        <v>Medium</v>
      </c>
      <c r="P622" t="str">
        <f>_xlfn.XLOOKUP(Table1[[#This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IF(_xlfn.XLOOKUP(C623,customers!$A$1:$A$1001,customers!$C$1:$C$1001,,0)=0,"Not _Provided",_xlfn.XLOOKUP(C623,customers!$A$1:$A$1001,customers!$C$1:$C$1001,,0))</f>
        <v>codgaardh9@nsw.gov.au</v>
      </c>
      <c r="H623" s="2" t="str">
        <f>_xlfn.XLOOKUP(C623,customers!$A$1:$A$1001,customers!$G$1:$G$1001,,0)</f>
        <v>United States</v>
      </c>
      <c r="I623" t="str">
        <f>INDEX(products!$B$1:$B$49,MATCH($D623,products!$A$1:$A$49,0))</f>
        <v>Ara</v>
      </c>
      <c r="J623" t="str">
        <f>INDEX(products!$C$1:$C$49,MATCH($D623,products!$A$1:$A$49,0))</f>
        <v>L</v>
      </c>
      <c r="K623" s="4">
        <f>INDEX(products!$D$1:$D$49,MATCH($D623,products!$A$1:$A$49,0))</f>
        <v>1</v>
      </c>
      <c r="L623" s="5">
        <f>INDEX(products!$E$1:$E$49,MATCH($D623,products!$A$1:$A$49,0))</f>
        <v>12.95</v>
      </c>
      <c r="M623" s="5">
        <f t="shared" si="9"/>
        <v>77.699999999999989</v>
      </c>
      <c r="N623" t="str" cm="1">
        <f t="array" ref="N623">_xlfn.IFS(I623="Rob","Robusta",I623="Exc","Excelsa",I623="Ara","Arabica",I623="Lib","Liberica")</f>
        <v>Arabica</v>
      </c>
      <c r="O623" t="str" cm="1">
        <f t="array" ref="O623">_xlfn.SWITCH($J623,"M","Medium","L","Light","D","Dark")</f>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IF(_xlfn.XLOOKUP(C624,customers!$A$1:$A$1001,customers!$C$1:$C$1001,,0)=0,"Not _Provided",_xlfn.XLOOKUP(C624,customers!$A$1:$A$1001,customers!$C$1:$C$1001,,0))</f>
        <v>bbyrdha@4shared.com</v>
      </c>
      <c r="H624" s="2" t="str">
        <f>_xlfn.XLOOKUP(C624,customers!$A$1:$A$1001,customers!$G$1:$G$1001,,0)</f>
        <v>United States</v>
      </c>
      <c r="I624" t="str">
        <f>INDEX(products!$B$1:$B$49,MATCH($D624,products!$A$1:$A$49,0))</f>
        <v>Lib</v>
      </c>
      <c r="J624" t="str">
        <f>INDEX(products!$C$1:$C$49,MATCH($D624,products!$A$1:$A$49,0))</f>
        <v>M</v>
      </c>
      <c r="K624" s="4">
        <f>INDEX(products!$D$1:$D$49,MATCH($D624,products!$A$1:$A$49,0))</f>
        <v>2.5</v>
      </c>
      <c r="L624" s="5">
        <f>INDEX(products!$E$1:$E$49,MATCH($D624,products!$A$1:$A$49,0))</f>
        <v>33.464999999999996</v>
      </c>
      <c r="M624" s="5">
        <f t="shared" si="9"/>
        <v>133.85999999999999</v>
      </c>
      <c r="N624" t="str" cm="1">
        <f t="array" ref="N624">_xlfn.IFS(I624="Rob","Robusta",I624="Exc","Excelsa",I624="Ara","Arabica",I624="Lib","Liberica")</f>
        <v>Liberica</v>
      </c>
      <c r="O624" t="str" cm="1">
        <f t="array" ref="O624">_xlfn.SWITCH($J624,"M","Medium","L","Light","D","Dark")</f>
        <v>Medium</v>
      </c>
      <c r="P624" t="str">
        <f>_xlfn.XLOOKUP(Table1[[#This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IF(_xlfn.XLOOKUP(C625,customers!$A$1:$A$1001,customers!$C$1:$C$1001,,0)=0,"Not _Provided",_xlfn.XLOOKUP(C625,customers!$A$1:$A$1001,customers!$C$1:$C$1001,,0))</f>
        <v>Not _Provided</v>
      </c>
      <c r="H625" s="2" t="str">
        <f>_xlfn.XLOOKUP(C625,customers!$A$1:$A$1001,customers!$G$1:$G$1001,,0)</f>
        <v>United Kingdom</v>
      </c>
      <c r="I625" t="str">
        <f>INDEX(products!$B$1:$B$49,MATCH($D625,products!$A$1:$A$49,0))</f>
        <v>Exc</v>
      </c>
      <c r="J625" t="str">
        <f>INDEX(products!$C$1:$C$49,MATCH($D625,products!$A$1:$A$49,0))</f>
        <v>D</v>
      </c>
      <c r="K625" s="4">
        <f>INDEX(products!$D$1:$D$49,MATCH($D625,products!$A$1:$A$49,0))</f>
        <v>1</v>
      </c>
      <c r="L625" s="5">
        <f>INDEX(products!$E$1:$E$49,MATCH($D625,products!$A$1:$A$49,0))</f>
        <v>12.15</v>
      </c>
      <c r="M625" s="5">
        <f t="shared" si="9"/>
        <v>12.15</v>
      </c>
      <c r="N625" t="str" cm="1">
        <f t="array" ref="N625">_xlfn.IFS(I625="Rob","Robusta",I625="Exc","Excelsa",I625="Ara","Arabica",I625="Lib","Liberica")</f>
        <v>Excelsa</v>
      </c>
      <c r="O625" t="str" cm="1">
        <f t="array" ref="O625">_xlfn.SWITCH($J625,"M","Medium","L","Light","D","Dark")</f>
        <v>Dark</v>
      </c>
      <c r="P625" t="str">
        <f>_xlfn.XLOOKUP(Table1[[#This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IF(_xlfn.XLOOKUP(C626,customers!$A$1:$A$1001,customers!$C$1:$C$1001,,0)=0,"Not _Provided",_xlfn.XLOOKUP(C626,customers!$A$1:$A$1001,customers!$C$1:$C$1001,,0))</f>
        <v>dchardinhc@nhs.uk</v>
      </c>
      <c r="H626" s="2" t="str">
        <f>_xlfn.XLOOKUP(C626,customers!$A$1:$A$1001,customers!$G$1:$G$1001,,0)</f>
        <v>Ireland</v>
      </c>
      <c r="I626" t="str">
        <f>INDEX(products!$B$1:$B$49,MATCH($D626,products!$A$1:$A$49,0))</f>
        <v>Exc</v>
      </c>
      <c r="J626" t="str">
        <f>INDEX(products!$C$1:$C$49,MATCH($D626,products!$A$1:$A$49,0))</f>
        <v>M</v>
      </c>
      <c r="K626" s="4">
        <f>INDEX(products!$D$1:$D$49,MATCH($D626,products!$A$1:$A$49,0))</f>
        <v>2.5</v>
      </c>
      <c r="L626" s="5">
        <f>INDEX(products!$E$1:$E$49,MATCH($D626,products!$A$1:$A$49,0))</f>
        <v>31.624999999999996</v>
      </c>
      <c r="M626" s="5">
        <f t="shared" si="9"/>
        <v>63.249999999999993</v>
      </c>
      <c r="N626" t="str" cm="1">
        <f t="array" ref="N626">_xlfn.IFS(I626="Rob","Robusta",I626="Exc","Excelsa",I626="Ara","Arabica",I626="Lib","Liberica")</f>
        <v>Excelsa</v>
      </c>
      <c r="O626" t="str" cm="1">
        <f t="array" ref="O626">_xlfn.SWITCH($J626,"M","Medium","L","Light","D","Dark")</f>
        <v>Medium</v>
      </c>
      <c r="P626" t="str">
        <f>_xlfn.XLOOKUP(Table1[[#This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IF(_xlfn.XLOOKUP(C627,customers!$A$1:$A$1001,customers!$C$1:$C$1001,,0)=0,"Not _Provided",_xlfn.XLOOKUP(C627,customers!$A$1:$A$1001,customers!$C$1:$C$1001,,0))</f>
        <v>hradbonehd@newsvine.com</v>
      </c>
      <c r="H627" s="2" t="str">
        <f>_xlfn.XLOOKUP(C627,customers!$A$1:$A$1001,customers!$G$1:$G$1001,,0)</f>
        <v>United States</v>
      </c>
      <c r="I627" t="str">
        <f>INDEX(products!$B$1:$B$49,MATCH($D627,products!$A$1:$A$49,0))</f>
        <v>Rob</v>
      </c>
      <c r="J627" t="str">
        <f>INDEX(products!$C$1:$C$49,MATCH($D627,products!$A$1:$A$49,0))</f>
        <v>L</v>
      </c>
      <c r="K627" s="4">
        <f>INDEX(products!$D$1:$D$49,MATCH($D627,products!$A$1:$A$49,0))</f>
        <v>0.5</v>
      </c>
      <c r="L627" s="5">
        <f>INDEX(products!$E$1:$E$49,MATCH($D627,products!$A$1:$A$49,0))</f>
        <v>7.169999999999999</v>
      </c>
      <c r="M627" s="5">
        <f t="shared" si="9"/>
        <v>35.849999999999994</v>
      </c>
      <c r="N627" t="str" cm="1">
        <f t="array" ref="N627">_xlfn.IFS(I627="Rob","Robusta",I627="Exc","Excelsa",I627="Ara","Arabica",I627="Lib","Liberica")</f>
        <v>Robusta</v>
      </c>
      <c r="O627" t="str" cm="1">
        <f t="array" ref="O627">_xlfn.SWITCH($J627,"M","Medium","L","Light","D","Dark")</f>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IF(_xlfn.XLOOKUP(C628,customers!$A$1:$A$1001,customers!$C$1:$C$1001,,0)=0,"Not _Provided",_xlfn.XLOOKUP(C628,customers!$A$1:$A$1001,customers!$C$1:$C$1001,,0))</f>
        <v>wbernthhe@miitbeian.gov.cn</v>
      </c>
      <c r="H628" s="2" t="str">
        <f>_xlfn.XLOOKUP(C628,customers!$A$1:$A$1001,customers!$G$1:$G$1001,,0)</f>
        <v>United States</v>
      </c>
      <c r="I628" t="str">
        <f>INDEX(products!$B$1:$B$49,MATCH($D628,products!$A$1:$A$49,0))</f>
        <v>Ara</v>
      </c>
      <c r="J628" t="str">
        <f>INDEX(products!$C$1:$C$49,MATCH($D628,products!$A$1:$A$49,0))</f>
        <v>M</v>
      </c>
      <c r="K628" s="4">
        <f>INDEX(products!$D$1:$D$49,MATCH($D628,products!$A$1:$A$49,0))</f>
        <v>2.5</v>
      </c>
      <c r="L628" s="5">
        <f>INDEX(products!$E$1:$E$49,MATCH($D628,products!$A$1:$A$49,0))</f>
        <v>25.874999999999996</v>
      </c>
      <c r="M628" s="5">
        <f t="shared" si="9"/>
        <v>77.624999999999986</v>
      </c>
      <c r="N628" t="str" cm="1">
        <f t="array" ref="N628">_xlfn.IFS(I628="Rob","Robusta",I628="Exc","Excelsa",I628="Ara","Arabica",I628="Lib","Liberica")</f>
        <v>Arabica</v>
      </c>
      <c r="O628" t="str" cm="1">
        <f t="array" ref="O628">_xlfn.SWITCH($J628,"M","Medium","L","Light","D","Dark")</f>
        <v>Medium</v>
      </c>
      <c r="P628" t="str">
        <f>_xlfn.XLOOKUP(Table1[[#This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IF(_xlfn.XLOOKUP(C629,customers!$A$1:$A$1001,customers!$C$1:$C$1001,,0)=0,"Not _Provided",_xlfn.XLOOKUP(C629,customers!$A$1:$A$1001,customers!$C$1:$C$1001,,0))</f>
        <v>bacarsonhf@cnn.com</v>
      </c>
      <c r="H629" s="2" t="str">
        <f>_xlfn.XLOOKUP(C629,customers!$A$1:$A$1001,customers!$G$1:$G$1001,,0)</f>
        <v>United States</v>
      </c>
      <c r="I629" t="str">
        <f>INDEX(products!$B$1:$B$49,MATCH($D629,products!$A$1:$A$49,0))</f>
        <v>Exc</v>
      </c>
      <c r="J629" t="str">
        <f>INDEX(products!$C$1:$C$49,MATCH($D629,products!$A$1:$A$49,0))</f>
        <v>M</v>
      </c>
      <c r="K629" s="4">
        <f>INDEX(products!$D$1:$D$49,MATCH($D629,products!$A$1:$A$49,0))</f>
        <v>2.5</v>
      </c>
      <c r="L629" s="5">
        <f>INDEX(products!$E$1:$E$49,MATCH($D629,products!$A$1:$A$49,0))</f>
        <v>31.624999999999996</v>
      </c>
      <c r="M629" s="5">
        <f t="shared" si="9"/>
        <v>63.249999999999993</v>
      </c>
      <c r="N629" t="str" cm="1">
        <f t="array" ref="N629">_xlfn.IFS(I629="Rob","Robusta",I629="Exc","Excelsa",I629="Ara","Arabica",I629="Lib","Liberica")</f>
        <v>Excelsa</v>
      </c>
      <c r="O629" t="str" cm="1">
        <f t="array" ref="O629">_xlfn.SWITCH($J629,"M","Medium","L","Light","D","Dark")</f>
        <v>Medium</v>
      </c>
      <c r="P629" t="str">
        <f>_xlfn.XLOOKUP(Table1[[#This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IF(_xlfn.XLOOKUP(C630,customers!$A$1:$A$1001,customers!$C$1:$C$1001,,0)=0,"Not _Provided",_xlfn.XLOOKUP(C630,customers!$A$1:$A$1001,customers!$C$1:$C$1001,,0))</f>
        <v>fbrighamhg@blog.com</v>
      </c>
      <c r="H630" s="2" t="str">
        <f>_xlfn.XLOOKUP(C630,customers!$A$1:$A$1001,customers!$G$1:$G$1001,,0)</f>
        <v>Ireland</v>
      </c>
      <c r="I630" t="str">
        <f>INDEX(products!$B$1:$B$49,MATCH($D630,products!$A$1:$A$49,0))</f>
        <v>Exc</v>
      </c>
      <c r="J630" t="str">
        <f>INDEX(products!$C$1:$C$49,MATCH($D630,products!$A$1:$A$49,0))</f>
        <v>L</v>
      </c>
      <c r="K630" s="4">
        <f>INDEX(products!$D$1:$D$49,MATCH($D630,products!$A$1:$A$49,0))</f>
        <v>0.2</v>
      </c>
      <c r="L630" s="5">
        <f>INDEX(products!$E$1:$E$49,MATCH($D630,products!$A$1:$A$49,0))</f>
        <v>4.4550000000000001</v>
      </c>
      <c r="M630" s="5">
        <f t="shared" si="9"/>
        <v>26.73</v>
      </c>
      <c r="N630" t="str" cm="1">
        <f t="array" ref="N630">_xlfn.IFS(I630="Rob","Robusta",I630="Exc","Excelsa",I630="Ara","Arabica",I630="Lib","Liberica")</f>
        <v>Excelsa</v>
      </c>
      <c r="O630" t="str" cm="1">
        <f t="array" ref="O630">_xlfn.SWITCH($J630,"M","Medium","L","Light","D","Dark")</f>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IF(_xlfn.XLOOKUP(C631,customers!$A$1:$A$1001,customers!$C$1:$C$1001,,0)=0,"Not _Provided",_xlfn.XLOOKUP(C631,customers!$A$1:$A$1001,customers!$C$1:$C$1001,,0))</f>
        <v>fbrighamhg@blog.com</v>
      </c>
      <c r="H631" s="2" t="str">
        <f>_xlfn.XLOOKUP(C631,customers!$A$1:$A$1001,customers!$G$1:$G$1001,,0)</f>
        <v>Ireland</v>
      </c>
      <c r="I631" t="str">
        <f>INDEX(products!$B$1:$B$49,MATCH($D631,products!$A$1:$A$49,0))</f>
        <v>Lib</v>
      </c>
      <c r="J631" t="str">
        <f>INDEX(products!$C$1:$C$49,MATCH($D631,products!$A$1:$A$49,0))</f>
        <v>D</v>
      </c>
      <c r="K631" s="4">
        <f>INDEX(products!$D$1:$D$49,MATCH($D631,products!$A$1:$A$49,0))</f>
        <v>0.5</v>
      </c>
      <c r="L631" s="5">
        <f>INDEX(products!$E$1:$E$49,MATCH($D631,products!$A$1:$A$49,0))</f>
        <v>7.77</v>
      </c>
      <c r="M631" s="5">
        <f t="shared" si="9"/>
        <v>31.08</v>
      </c>
      <c r="N631" t="str" cm="1">
        <f t="array" ref="N631">_xlfn.IFS(I631="Rob","Robusta",I631="Exc","Excelsa",I631="Ara","Arabica",I631="Lib","Liberica")</f>
        <v>Liberica</v>
      </c>
      <c r="O631" t="str" cm="1">
        <f t="array" ref="O631">_xlfn.SWITCH($J631,"M","Medium","L","Light","D","Dark")</f>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IF(_xlfn.XLOOKUP(C632,customers!$A$1:$A$1001,customers!$C$1:$C$1001,,0)=0,"Not _Provided",_xlfn.XLOOKUP(C632,customers!$A$1:$A$1001,customers!$C$1:$C$1001,,0))</f>
        <v>fbrighamhg@blog.com</v>
      </c>
      <c r="H632" s="2" t="str">
        <f>_xlfn.XLOOKUP(C632,customers!$A$1:$A$1001,customers!$G$1:$G$1001,,0)</f>
        <v>Ireland</v>
      </c>
      <c r="I632" t="str">
        <f>INDEX(products!$B$1:$B$49,MATCH($D632,products!$A$1:$A$49,0))</f>
        <v>Ara</v>
      </c>
      <c r="J632" t="str">
        <f>INDEX(products!$C$1:$C$49,MATCH($D632,products!$A$1:$A$49,0))</f>
        <v>D</v>
      </c>
      <c r="K632" s="4">
        <f>INDEX(products!$D$1:$D$49,MATCH($D632,products!$A$1:$A$49,0))</f>
        <v>0.2</v>
      </c>
      <c r="L632" s="5">
        <f>INDEX(products!$E$1:$E$49,MATCH($D632,products!$A$1:$A$49,0))</f>
        <v>2.9849999999999999</v>
      </c>
      <c r="M632" s="5">
        <f t="shared" si="9"/>
        <v>2.9849999999999999</v>
      </c>
      <c r="N632" t="str" cm="1">
        <f t="array" ref="N632">_xlfn.IFS(I632="Rob","Robusta",I632="Exc","Excelsa",I632="Ara","Arabica",I632="Lib","Liberica")</f>
        <v>Arabica</v>
      </c>
      <c r="O632" t="str" cm="1">
        <f t="array" ref="O632">_xlfn.SWITCH($J632,"M","Medium","L","Light","D","Dark")</f>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IF(_xlfn.XLOOKUP(C633,customers!$A$1:$A$1001,customers!$C$1:$C$1001,,0)=0,"Not _Provided",_xlfn.XLOOKUP(C633,customers!$A$1:$A$1001,customers!$C$1:$C$1001,,0))</f>
        <v>fbrighamhg@blog.com</v>
      </c>
      <c r="H633" s="2" t="str">
        <f>_xlfn.XLOOKUP(C633,customers!$A$1:$A$1001,customers!$G$1:$G$1001,,0)</f>
        <v>Ireland</v>
      </c>
      <c r="I633" t="str">
        <f>INDEX(products!$B$1:$B$49,MATCH($D633,products!$A$1:$A$49,0))</f>
        <v>Rob</v>
      </c>
      <c r="J633" t="str">
        <f>INDEX(products!$C$1:$C$49,MATCH($D633,products!$A$1:$A$49,0))</f>
        <v>D</v>
      </c>
      <c r="K633" s="4">
        <f>INDEX(products!$D$1:$D$49,MATCH($D633,products!$A$1:$A$49,0))</f>
        <v>2.5</v>
      </c>
      <c r="L633" s="5">
        <f>INDEX(products!$E$1:$E$49,MATCH($D633,products!$A$1:$A$49,0))</f>
        <v>20.584999999999997</v>
      </c>
      <c r="M633" s="5">
        <f t="shared" si="9"/>
        <v>102.92499999999998</v>
      </c>
      <c r="N633" t="str" cm="1">
        <f t="array" ref="N633">_xlfn.IFS(I633="Rob","Robusta",I633="Exc","Excelsa",I633="Ara","Arabica",I633="Lib","Liberica")</f>
        <v>Robusta</v>
      </c>
      <c r="O633" t="str" cm="1">
        <f t="array" ref="O633">_xlfn.SWITCH($J633,"M","Medium","L","Light","D","Dark")</f>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IF(_xlfn.XLOOKUP(C634,customers!$A$1:$A$1001,customers!$C$1:$C$1001,,0)=0,"Not _Provided",_xlfn.XLOOKUP(C634,customers!$A$1:$A$1001,customers!$C$1:$C$1001,,0))</f>
        <v>myoxenhk@google.com</v>
      </c>
      <c r="H634" s="2" t="str">
        <f>_xlfn.XLOOKUP(C634,customers!$A$1:$A$1001,customers!$G$1:$G$1001,,0)</f>
        <v>United States</v>
      </c>
      <c r="I634" t="str">
        <f>INDEX(products!$B$1:$B$49,MATCH($D634,products!$A$1:$A$49,0))</f>
        <v>Exc</v>
      </c>
      <c r="J634" t="str">
        <f>INDEX(products!$C$1:$C$49,MATCH($D634,products!$A$1:$A$49,0))</f>
        <v>L</v>
      </c>
      <c r="K634" s="4">
        <f>INDEX(products!$D$1:$D$49,MATCH($D634,products!$A$1:$A$49,0))</f>
        <v>0.5</v>
      </c>
      <c r="L634" s="5">
        <f>INDEX(products!$E$1:$E$49,MATCH($D634,products!$A$1:$A$49,0))</f>
        <v>8.91</v>
      </c>
      <c r="M634" s="5">
        <f t="shared" si="9"/>
        <v>35.64</v>
      </c>
      <c r="N634" t="str" cm="1">
        <f t="array" ref="N634">_xlfn.IFS(I634="Rob","Robusta",I634="Exc","Excelsa",I634="Ara","Arabica",I634="Lib","Liberica")</f>
        <v>Excelsa</v>
      </c>
      <c r="O634" t="str" cm="1">
        <f t="array" ref="O634">_xlfn.SWITCH($J634,"M","Medium","L","Light","D","Dark")</f>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IF(_xlfn.XLOOKUP(C635,customers!$A$1:$A$1001,customers!$C$1:$C$1001,,0)=0,"Not _Provided",_xlfn.XLOOKUP(C635,customers!$A$1:$A$1001,customers!$C$1:$C$1001,,0))</f>
        <v>gmcgavinhl@histats.com</v>
      </c>
      <c r="H635" s="2" t="str">
        <f>_xlfn.XLOOKUP(C635,customers!$A$1:$A$1001,customers!$G$1:$G$1001,,0)</f>
        <v>United States</v>
      </c>
      <c r="I635" t="str">
        <f>INDEX(products!$B$1:$B$49,MATCH($D635,products!$A$1:$A$49,0))</f>
        <v>Rob</v>
      </c>
      <c r="J635" t="str">
        <f>INDEX(products!$C$1:$C$49,MATCH($D635,products!$A$1:$A$49,0))</f>
        <v>L</v>
      </c>
      <c r="K635" s="4">
        <f>INDEX(products!$D$1:$D$49,MATCH($D635,products!$A$1:$A$49,0))</f>
        <v>1</v>
      </c>
      <c r="L635" s="5">
        <f>INDEX(products!$E$1:$E$49,MATCH($D635,products!$A$1:$A$49,0))</f>
        <v>11.95</v>
      </c>
      <c r="M635" s="5">
        <f t="shared" si="9"/>
        <v>47.8</v>
      </c>
      <c r="N635" t="str" cm="1">
        <f t="array" ref="N635">_xlfn.IFS(I635="Rob","Robusta",I635="Exc","Excelsa",I635="Ara","Arabica",I635="Lib","Liberica")</f>
        <v>Robusta</v>
      </c>
      <c r="O635" t="str" cm="1">
        <f t="array" ref="O635">_xlfn.SWITCH($J635,"M","Medium","L","Light","D","Dark")</f>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IF(_xlfn.XLOOKUP(C636,customers!$A$1:$A$1001,customers!$C$1:$C$1001,,0)=0,"Not _Provided",_xlfn.XLOOKUP(C636,customers!$A$1:$A$1001,customers!$C$1:$C$1001,,0))</f>
        <v>luttermarehm@engadget.com</v>
      </c>
      <c r="H636" s="2" t="str">
        <f>_xlfn.XLOOKUP(C636,customers!$A$1:$A$1001,customers!$G$1:$G$1001,,0)</f>
        <v>United States</v>
      </c>
      <c r="I636" t="str">
        <f>INDEX(products!$B$1:$B$49,MATCH($D636,products!$A$1:$A$49,0))</f>
        <v>Lib</v>
      </c>
      <c r="J636" t="str">
        <f>INDEX(products!$C$1:$C$49,MATCH($D636,products!$A$1:$A$49,0))</f>
        <v>M</v>
      </c>
      <c r="K636" s="4">
        <f>INDEX(products!$D$1:$D$49,MATCH($D636,products!$A$1:$A$49,0))</f>
        <v>1</v>
      </c>
      <c r="L636" s="5">
        <f>INDEX(products!$E$1:$E$49,MATCH($D636,products!$A$1:$A$49,0))</f>
        <v>14.55</v>
      </c>
      <c r="M636" s="5">
        <f t="shared" si="9"/>
        <v>43.650000000000006</v>
      </c>
      <c r="N636" t="str" cm="1">
        <f t="array" ref="N636">_xlfn.IFS(I636="Rob","Robusta",I636="Exc","Excelsa",I636="Ara","Arabica",I636="Lib","Liberica")</f>
        <v>Liberica</v>
      </c>
      <c r="O636" t="str" cm="1">
        <f t="array" ref="O636">_xlfn.SWITCH($J636,"M","Medium","L","Light","D","Dark")</f>
        <v>Medium</v>
      </c>
      <c r="P636" t="str">
        <f>_xlfn.XLOOKUP(Table1[[#This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IF(_xlfn.XLOOKUP(C637,customers!$A$1:$A$1001,customers!$C$1:$C$1001,,0)=0,"Not _Provided",_xlfn.XLOOKUP(C637,customers!$A$1:$A$1001,customers!$C$1:$C$1001,,0))</f>
        <v>edambrogiohn@techcrunch.com</v>
      </c>
      <c r="H637" s="2" t="str">
        <f>_xlfn.XLOOKUP(C637,customers!$A$1:$A$1001,customers!$G$1:$G$1001,,0)</f>
        <v>United States</v>
      </c>
      <c r="I637" t="str">
        <f>INDEX(products!$B$1:$B$49,MATCH($D637,products!$A$1:$A$49,0))</f>
        <v>Exc</v>
      </c>
      <c r="J637" t="str">
        <f>INDEX(products!$C$1:$C$49,MATCH($D637,products!$A$1:$A$49,0))</f>
        <v>L</v>
      </c>
      <c r="K637" s="4">
        <f>INDEX(products!$D$1:$D$49,MATCH($D637,products!$A$1:$A$49,0))</f>
        <v>0.5</v>
      </c>
      <c r="L637" s="5">
        <f>INDEX(products!$E$1:$E$49,MATCH($D637,products!$A$1:$A$49,0))</f>
        <v>8.91</v>
      </c>
      <c r="M637" s="5">
        <f t="shared" si="9"/>
        <v>35.64</v>
      </c>
      <c r="N637" t="str" cm="1">
        <f t="array" ref="N637">_xlfn.IFS(I637="Rob","Robusta",I637="Exc","Excelsa",I637="Ara","Arabica",I637="Lib","Liberica")</f>
        <v>Excelsa</v>
      </c>
      <c r="O637" t="str" cm="1">
        <f t="array" ref="O637">_xlfn.SWITCH($J637,"M","Medium","L","Light","D","Dark")</f>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IF(_xlfn.XLOOKUP(C638,customers!$A$1:$A$1001,customers!$C$1:$C$1001,,0)=0,"Not _Provided",_xlfn.XLOOKUP(C638,customers!$A$1:$A$1001,customers!$C$1:$C$1001,,0))</f>
        <v>cwinchcombeho@jiathis.com</v>
      </c>
      <c r="H638" s="2" t="str">
        <f>_xlfn.XLOOKUP(C638,customers!$A$1:$A$1001,customers!$G$1:$G$1001,,0)</f>
        <v>United States</v>
      </c>
      <c r="I638" t="str">
        <f>INDEX(products!$B$1:$B$49,MATCH($D638,products!$A$1:$A$49,0))</f>
        <v>Lib</v>
      </c>
      <c r="J638" t="str">
        <f>INDEX(products!$C$1:$C$49,MATCH($D638,products!$A$1:$A$49,0))</f>
        <v>L</v>
      </c>
      <c r="K638" s="4">
        <f>INDEX(products!$D$1:$D$49,MATCH($D638,products!$A$1:$A$49,0))</f>
        <v>1</v>
      </c>
      <c r="L638" s="5">
        <f>INDEX(products!$E$1:$E$49,MATCH($D638,products!$A$1:$A$49,0))</f>
        <v>15.85</v>
      </c>
      <c r="M638" s="5">
        <f t="shared" si="9"/>
        <v>95.1</v>
      </c>
      <c r="N638" t="str" cm="1">
        <f t="array" ref="N638">_xlfn.IFS(I638="Rob","Robusta",I638="Exc","Excelsa",I638="Ara","Arabica",I638="Lib","Liberica")</f>
        <v>Liberica</v>
      </c>
      <c r="O638" t="str" cm="1">
        <f t="array" ref="O638">_xlfn.SWITCH($J638,"M","Medium","L","Light","D","Dark")</f>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IF(_xlfn.XLOOKUP(C639,customers!$A$1:$A$1001,customers!$C$1:$C$1001,,0)=0,"Not _Provided",_xlfn.XLOOKUP(C639,customers!$A$1:$A$1001,customers!$C$1:$C$1001,,0))</f>
        <v>bpaumierhp@umn.edu</v>
      </c>
      <c r="H639" s="2" t="str">
        <f>_xlfn.XLOOKUP(C639,customers!$A$1:$A$1001,customers!$G$1:$G$1001,,0)</f>
        <v>Ireland</v>
      </c>
      <c r="I639" t="str">
        <f>INDEX(products!$B$1:$B$49,MATCH($D639,products!$A$1:$A$49,0))</f>
        <v>Exc</v>
      </c>
      <c r="J639" t="str">
        <f>INDEX(products!$C$1:$C$49,MATCH($D639,products!$A$1:$A$49,0))</f>
        <v>M</v>
      </c>
      <c r="K639" s="4">
        <f>INDEX(products!$D$1:$D$49,MATCH($D639,products!$A$1:$A$49,0))</f>
        <v>2.5</v>
      </c>
      <c r="L639" s="5">
        <f>INDEX(products!$E$1:$E$49,MATCH($D639,products!$A$1:$A$49,0))</f>
        <v>31.624999999999996</v>
      </c>
      <c r="M639" s="5">
        <f t="shared" si="9"/>
        <v>31.624999999999996</v>
      </c>
      <c r="N639" t="str" cm="1">
        <f t="array" ref="N639">_xlfn.IFS(I639="Rob","Robusta",I639="Exc","Excelsa",I639="Ara","Arabica",I639="Lib","Liberica")</f>
        <v>Excelsa</v>
      </c>
      <c r="O639" t="str" cm="1">
        <f t="array" ref="O639">_xlfn.SWITCH($J639,"M","Medium","L","Light","D","Dark")</f>
        <v>Medium</v>
      </c>
      <c r="P639" t="str">
        <f>_xlfn.XLOOKUP(Table1[[#This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IF(_xlfn.XLOOKUP(C640,customers!$A$1:$A$1001,customers!$C$1:$C$1001,,0)=0,"Not _Provided",_xlfn.XLOOKUP(C640,customers!$A$1:$A$1001,customers!$C$1:$C$1001,,0))</f>
        <v>Not _Provided</v>
      </c>
      <c r="H640" s="2" t="str">
        <f>_xlfn.XLOOKUP(C640,customers!$A$1:$A$1001,customers!$G$1:$G$1001,,0)</f>
        <v>Ireland</v>
      </c>
      <c r="I640" t="str">
        <f>INDEX(products!$B$1:$B$49,MATCH($D640,products!$A$1:$A$49,0))</f>
        <v>Ara</v>
      </c>
      <c r="J640" t="str">
        <f>INDEX(products!$C$1:$C$49,MATCH($D640,products!$A$1:$A$49,0))</f>
        <v>M</v>
      </c>
      <c r="K640" s="4">
        <f>INDEX(products!$D$1:$D$49,MATCH($D640,products!$A$1:$A$49,0))</f>
        <v>2.5</v>
      </c>
      <c r="L640" s="5">
        <f>INDEX(products!$E$1:$E$49,MATCH($D640,products!$A$1:$A$49,0))</f>
        <v>25.874999999999996</v>
      </c>
      <c r="M640" s="5">
        <f t="shared" si="9"/>
        <v>77.624999999999986</v>
      </c>
      <c r="N640" t="str" cm="1">
        <f t="array" ref="N640">_xlfn.IFS(I640="Rob","Robusta",I640="Exc","Excelsa",I640="Ara","Arabica",I640="Lib","Liberica")</f>
        <v>Arabica</v>
      </c>
      <c r="O640" t="str" cm="1">
        <f t="array" ref="O640">_xlfn.SWITCH($J640,"M","Medium","L","Light","D","Dark")</f>
        <v>Medium</v>
      </c>
      <c r="P640" t="str">
        <f>_xlfn.XLOOKUP(Table1[[#This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IF(_xlfn.XLOOKUP(C641,customers!$A$1:$A$1001,customers!$C$1:$C$1001,,0)=0,"Not _Provided",_xlfn.XLOOKUP(C641,customers!$A$1:$A$1001,customers!$C$1:$C$1001,,0))</f>
        <v>jcapeyhr@bravesites.com</v>
      </c>
      <c r="H641" s="2" t="str">
        <f>_xlfn.XLOOKUP(C641,customers!$A$1:$A$1001,customers!$G$1:$G$1001,,0)</f>
        <v>United States</v>
      </c>
      <c r="I641" t="str">
        <f>INDEX(products!$B$1:$B$49,MATCH($D641,products!$A$1:$A$49,0))</f>
        <v>Lib</v>
      </c>
      <c r="J641" t="str">
        <f>INDEX(products!$C$1:$C$49,MATCH($D641,products!$A$1:$A$49,0))</f>
        <v>D</v>
      </c>
      <c r="K641" s="4">
        <f>INDEX(products!$D$1:$D$49,MATCH($D641,products!$A$1:$A$49,0))</f>
        <v>0.2</v>
      </c>
      <c r="L641" s="5">
        <f>INDEX(products!$E$1:$E$49,MATCH($D641,products!$A$1:$A$49,0))</f>
        <v>3.8849999999999998</v>
      </c>
      <c r="M641" s="5">
        <f t="shared" si="9"/>
        <v>3.8849999999999998</v>
      </c>
      <c r="N641" t="str" cm="1">
        <f t="array" ref="N641">_xlfn.IFS(I641="Rob","Robusta",I641="Exc","Excelsa",I641="Ara","Arabica",I641="Lib","Liberica")</f>
        <v>Liberica</v>
      </c>
      <c r="O641" t="str" cm="1">
        <f t="array" ref="O641">_xlfn.SWITCH($J641,"M","Medium","L","Light","D","Dark")</f>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IF(_xlfn.XLOOKUP(C642,customers!$A$1:$A$1001,customers!$C$1:$C$1001,,0)=0,"Not _Provided",_xlfn.XLOOKUP(C642,customers!$A$1:$A$1001,customers!$C$1:$C$1001,,0))</f>
        <v>tmathonneti0@google.co.jp</v>
      </c>
      <c r="H642" s="2" t="str">
        <f>_xlfn.XLOOKUP(C642,customers!$A$1:$A$1001,customers!$G$1:$G$1001,,0)</f>
        <v>United States</v>
      </c>
      <c r="I642" t="str">
        <f>INDEX(products!$B$1:$B$49,MATCH($D642,products!$A$1:$A$49,0))</f>
        <v>Rob</v>
      </c>
      <c r="J642" t="str">
        <f>INDEX(products!$C$1:$C$49,MATCH($D642,products!$A$1:$A$49,0))</f>
        <v>L</v>
      </c>
      <c r="K642" s="4">
        <f>INDEX(products!$D$1:$D$49,MATCH($D642,products!$A$1:$A$49,0))</f>
        <v>2.5</v>
      </c>
      <c r="L642" s="5">
        <f>INDEX(products!$E$1:$E$49,MATCH($D642,products!$A$1:$A$49,0))</f>
        <v>27.484999999999996</v>
      </c>
      <c r="M642" s="5">
        <f t="shared" si="9"/>
        <v>137.42499999999998</v>
      </c>
      <c r="N642" t="str" cm="1">
        <f t="array" ref="N642">_xlfn.IFS(I642="Rob","Robusta",I642="Exc","Excelsa",I642="Ara","Arabica",I642="Lib","Liberica")</f>
        <v>Robusta</v>
      </c>
      <c r="O642" t="str" cm="1">
        <f t="array" ref="O642">_xlfn.SWITCH($J642,"M","Medium","L","Light","D","Dark")</f>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IF(_xlfn.XLOOKUP(C643,customers!$A$1:$A$1001,customers!$C$1:$C$1001,,0)=0,"Not _Provided",_xlfn.XLOOKUP(C643,customers!$A$1:$A$1001,customers!$C$1:$C$1001,,0))</f>
        <v>ybasillht@theguardian.com</v>
      </c>
      <c r="H643" s="2" t="str">
        <f>_xlfn.XLOOKUP(C643,customers!$A$1:$A$1001,customers!$G$1:$G$1001,,0)</f>
        <v>United States</v>
      </c>
      <c r="I643" t="str">
        <f>INDEX(products!$B$1:$B$49,MATCH($D643,products!$A$1:$A$49,0))</f>
        <v>Rob</v>
      </c>
      <c r="J643" t="str">
        <f>INDEX(products!$C$1:$C$49,MATCH($D643,products!$A$1:$A$49,0))</f>
        <v>L</v>
      </c>
      <c r="K643" s="4">
        <f>INDEX(products!$D$1:$D$49,MATCH($D643,products!$A$1:$A$49,0))</f>
        <v>1</v>
      </c>
      <c r="L643" s="5">
        <f>INDEX(products!$E$1:$E$49,MATCH($D643,products!$A$1:$A$49,0))</f>
        <v>11.95</v>
      </c>
      <c r="M643" s="5">
        <f t="shared" ref="M643:M706" si="10">E643*L643</f>
        <v>35.849999999999994</v>
      </c>
      <c r="N643" t="str" cm="1">
        <f t="array" ref="N643">_xlfn.IFS(I643="Rob","Robusta",I643="Exc","Excelsa",I643="Ara","Arabica",I643="Lib","Liberica")</f>
        <v>Robusta</v>
      </c>
      <c r="O643" t="str" cm="1">
        <f t="array" ref="O643">_xlfn.SWITCH($J643,"M","Medium","L","Light","D","Dark")</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IF(_xlfn.XLOOKUP(C644,customers!$A$1:$A$1001,customers!$C$1:$C$1001,,0)=0,"Not _Provided",_xlfn.XLOOKUP(C644,customers!$A$1:$A$1001,customers!$C$1:$C$1001,,0))</f>
        <v>mbaistowhu@i2i.jp</v>
      </c>
      <c r="H644" s="2" t="str">
        <f>_xlfn.XLOOKUP(C644,customers!$A$1:$A$1001,customers!$G$1:$G$1001,,0)</f>
        <v>United Kingdom</v>
      </c>
      <c r="I644" t="str">
        <f>INDEX(products!$B$1:$B$49,MATCH($D644,products!$A$1:$A$49,0))</f>
        <v>Exc</v>
      </c>
      <c r="J644" t="str">
        <f>INDEX(products!$C$1:$C$49,MATCH($D644,products!$A$1:$A$49,0))</f>
        <v>M</v>
      </c>
      <c r="K644" s="4">
        <f>INDEX(products!$D$1:$D$49,MATCH($D644,products!$A$1:$A$49,0))</f>
        <v>0.2</v>
      </c>
      <c r="L644" s="5">
        <f>INDEX(products!$E$1:$E$49,MATCH($D644,products!$A$1:$A$49,0))</f>
        <v>4.125</v>
      </c>
      <c r="M644" s="5">
        <f t="shared" si="10"/>
        <v>8.25</v>
      </c>
      <c r="N644" t="str" cm="1">
        <f t="array" ref="N644">_xlfn.IFS(I644="Rob","Robusta",I644="Exc","Excelsa",I644="Ara","Arabica",I644="Lib","Liberica")</f>
        <v>Excelsa</v>
      </c>
      <c r="O644" t="str" cm="1">
        <f t="array" ref="O644">_xlfn.SWITCH($J644,"M","Medium","L","Light","D","Dark")</f>
        <v>Medium</v>
      </c>
      <c r="P644" t="str">
        <f>_xlfn.XLOOKUP(Table1[[#This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IF(_xlfn.XLOOKUP(C645,customers!$A$1:$A$1001,customers!$C$1:$C$1001,,0)=0,"Not _Provided",_xlfn.XLOOKUP(C645,customers!$A$1:$A$1001,customers!$C$1:$C$1001,,0))</f>
        <v>cpallanthv@typepad.com</v>
      </c>
      <c r="H645" s="2" t="str">
        <f>_xlfn.XLOOKUP(C645,customers!$A$1:$A$1001,customers!$G$1:$G$1001,,0)</f>
        <v>United States</v>
      </c>
      <c r="I645" t="str">
        <f>INDEX(products!$B$1:$B$49,MATCH($D645,products!$A$1:$A$49,0))</f>
        <v>Exc</v>
      </c>
      <c r="J645" t="str">
        <f>INDEX(products!$C$1:$C$49,MATCH($D645,products!$A$1:$A$49,0))</f>
        <v>L</v>
      </c>
      <c r="K645" s="4">
        <f>INDEX(products!$D$1:$D$49,MATCH($D645,products!$A$1:$A$49,0))</f>
        <v>2.5</v>
      </c>
      <c r="L645" s="5">
        <f>INDEX(products!$E$1:$E$49,MATCH($D645,products!$A$1:$A$49,0))</f>
        <v>34.154999999999994</v>
      </c>
      <c r="M645" s="5">
        <f t="shared" si="10"/>
        <v>102.46499999999997</v>
      </c>
      <c r="N645" t="str" cm="1">
        <f t="array" ref="N645">_xlfn.IFS(I645="Rob","Robusta",I645="Exc","Excelsa",I645="Ara","Arabica",I645="Lib","Liberica")</f>
        <v>Excelsa</v>
      </c>
      <c r="O645" t="str" cm="1">
        <f t="array" ref="O645">_xlfn.SWITCH($J645,"M","Medium","L","Light","D","Dark")</f>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IF(_xlfn.XLOOKUP(C646,customers!$A$1:$A$1001,customers!$C$1:$C$1001,,0)=0,"Not _Provided",_xlfn.XLOOKUP(C646,customers!$A$1:$A$1001,customers!$C$1:$C$1001,,0))</f>
        <v>Not _Provided</v>
      </c>
      <c r="H646" s="2" t="str">
        <f>_xlfn.XLOOKUP(C646,customers!$A$1:$A$1001,customers!$G$1:$G$1001,,0)</f>
        <v>United States</v>
      </c>
      <c r="I646" t="str">
        <f>INDEX(products!$B$1:$B$49,MATCH($D646,products!$A$1:$A$49,0))</f>
        <v>Rob</v>
      </c>
      <c r="J646" t="str">
        <f>INDEX(products!$C$1:$C$49,MATCH($D646,products!$A$1:$A$49,0))</f>
        <v>D</v>
      </c>
      <c r="K646" s="4">
        <f>INDEX(products!$D$1:$D$49,MATCH($D646,products!$A$1:$A$49,0))</f>
        <v>2.5</v>
      </c>
      <c r="L646" s="5">
        <f>INDEX(products!$E$1:$E$49,MATCH($D646,products!$A$1:$A$49,0))</f>
        <v>20.584999999999997</v>
      </c>
      <c r="M646" s="5">
        <f t="shared" si="10"/>
        <v>41.169999999999995</v>
      </c>
      <c r="N646" t="str" cm="1">
        <f t="array" ref="N646">_xlfn.IFS(I646="Rob","Robusta",I646="Exc","Excelsa",I646="Ara","Arabica",I646="Lib","Liberica")</f>
        <v>Robusta</v>
      </c>
      <c r="O646" t="str" cm="1">
        <f t="array" ref="O646">_xlfn.SWITCH($J646,"M","Medium","L","Light","D","Dark")</f>
        <v>Dark</v>
      </c>
      <c r="P646" t="str">
        <f>_xlfn.XLOOKUP(Table1[[#This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IF(_xlfn.XLOOKUP(C647,customers!$A$1:$A$1001,customers!$C$1:$C$1001,,0)=0,"Not _Provided",_xlfn.XLOOKUP(C647,customers!$A$1:$A$1001,customers!$C$1:$C$1001,,0))</f>
        <v>dohx@redcross.org</v>
      </c>
      <c r="H647" s="2" t="str">
        <f>_xlfn.XLOOKUP(C647,customers!$A$1:$A$1001,customers!$G$1:$G$1001,,0)</f>
        <v>United States</v>
      </c>
      <c r="I647" t="str">
        <f>INDEX(products!$B$1:$B$49,MATCH($D647,products!$A$1:$A$49,0))</f>
        <v>Ara</v>
      </c>
      <c r="J647" t="str">
        <f>INDEX(products!$C$1:$C$49,MATCH($D647,products!$A$1:$A$49,0))</f>
        <v>D</v>
      </c>
      <c r="K647" s="4">
        <f>INDEX(products!$D$1:$D$49,MATCH($D647,products!$A$1:$A$49,0))</f>
        <v>2.5</v>
      </c>
      <c r="L647" s="5">
        <f>INDEX(products!$E$1:$E$49,MATCH($D647,products!$A$1:$A$49,0))</f>
        <v>22.884999999999998</v>
      </c>
      <c r="M647" s="5">
        <f t="shared" si="10"/>
        <v>68.655000000000001</v>
      </c>
      <c r="N647" t="str" cm="1">
        <f t="array" ref="N647">_xlfn.IFS(I647="Rob","Robusta",I647="Exc","Excelsa",I647="Ara","Arabica",I647="Lib","Liberica")</f>
        <v>Arabica</v>
      </c>
      <c r="O647" t="str" cm="1">
        <f t="array" ref="O647">_xlfn.SWITCH($J647,"M","Medium","L","Light","D","Dark")</f>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IF(_xlfn.XLOOKUP(C648,customers!$A$1:$A$1001,customers!$C$1:$C$1001,,0)=0,"Not _Provided",_xlfn.XLOOKUP(C648,customers!$A$1:$A$1001,customers!$C$1:$C$1001,,0))</f>
        <v>drallinhy@howstuffworks.com</v>
      </c>
      <c r="H648" s="2" t="str">
        <f>_xlfn.XLOOKUP(C648,customers!$A$1:$A$1001,customers!$G$1:$G$1001,,0)</f>
        <v>United States</v>
      </c>
      <c r="I648" t="str">
        <f>INDEX(products!$B$1:$B$49,MATCH($D648,products!$A$1:$A$49,0))</f>
        <v>Ara</v>
      </c>
      <c r="J648" t="str">
        <f>INDEX(products!$C$1:$C$49,MATCH($D648,products!$A$1:$A$49,0))</f>
        <v>D</v>
      </c>
      <c r="K648" s="4">
        <f>INDEX(products!$D$1:$D$49,MATCH($D648,products!$A$1:$A$49,0))</f>
        <v>1</v>
      </c>
      <c r="L648" s="5">
        <f>INDEX(products!$E$1:$E$49,MATCH($D648,products!$A$1:$A$49,0))</f>
        <v>9.9499999999999993</v>
      </c>
      <c r="M648" s="5">
        <f t="shared" si="10"/>
        <v>9.9499999999999993</v>
      </c>
      <c r="N648" t="str" cm="1">
        <f t="array" ref="N648">_xlfn.IFS(I648="Rob","Robusta",I648="Exc","Excelsa",I648="Ara","Arabica",I648="Lib","Liberica")</f>
        <v>Arabica</v>
      </c>
      <c r="O648" t="str" cm="1">
        <f t="array" ref="O648">_xlfn.SWITCH($J648,"M","Medium","L","Light","D","Dark")</f>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IF(_xlfn.XLOOKUP(C649,customers!$A$1:$A$1001,customers!$C$1:$C$1001,,0)=0,"Not _Provided",_xlfn.XLOOKUP(C649,customers!$A$1:$A$1001,customers!$C$1:$C$1001,,0))</f>
        <v>achillhz@epa.gov</v>
      </c>
      <c r="H649" s="2" t="str">
        <f>_xlfn.XLOOKUP(C649,customers!$A$1:$A$1001,customers!$G$1:$G$1001,,0)</f>
        <v>United Kingdom</v>
      </c>
      <c r="I649" t="str">
        <f>INDEX(products!$B$1:$B$49,MATCH($D649,products!$A$1:$A$49,0))</f>
        <v>Lib</v>
      </c>
      <c r="J649" t="str">
        <f>INDEX(products!$C$1:$C$49,MATCH($D649,products!$A$1:$A$49,0))</f>
        <v>L</v>
      </c>
      <c r="K649" s="4">
        <f>INDEX(products!$D$1:$D$49,MATCH($D649,products!$A$1:$A$49,0))</f>
        <v>0.5</v>
      </c>
      <c r="L649" s="5">
        <f>INDEX(products!$E$1:$E$49,MATCH($D649,products!$A$1:$A$49,0))</f>
        <v>9.51</v>
      </c>
      <c r="M649" s="5">
        <f t="shared" si="10"/>
        <v>28.53</v>
      </c>
      <c r="N649" t="str" cm="1">
        <f t="array" ref="N649">_xlfn.IFS(I649="Rob","Robusta",I649="Exc","Excelsa",I649="Ara","Arabica",I649="Lib","Liberica")</f>
        <v>Liberica</v>
      </c>
      <c r="O649" t="str" cm="1">
        <f t="array" ref="O649">_xlfn.SWITCH($J649,"M","Medium","L","Light","D","Dark")</f>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IF(_xlfn.XLOOKUP(C650,customers!$A$1:$A$1001,customers!$C$1:$C$1001,,0)=0,"Not _Provided",_xlfn.XLOOKUP(C650,customers!$A$1:$A$1001,customers!$C$1:$C$1001,,0))</f>
        <v>tmathonneti0@google.co.jp</v>
      </c>
      <c r="H650" s="2" t="str">
        <f>_xlfn.XLOOKUP(C650,customers!$A$1:$A$1001,customers!$G$1:$G$1001,,0)</f>
        <v>United States</v>
      </c>
      <c r="I650" t="str">
        <f>INDEX(products!$B$1:$B$49,MATCH($D650,products!$A$1:$A$49,0))</f>
        <v>Rob</v>
      </c>
      <c r="J650" t="str">
        <f>INDEX(products!$C$1:$C$49,MATCH($D650,products!$A$1:$A$49,0))</f>
        <v>D</v>
      </c>
      <c r="K650" s="4">
        <f>INDEX(products!$D$1:$D$49,MATCH($D650,products!$A$1:$A$49,0))</f>
        <v>0.2</v>
      </c>
      <c r="L650" s="5">
        <f>INDEX(products!$E$1:$E$49,MATCH($D650,products!$A$1:$A$49,0))</f>
        <v>2.6849999999999996</v>
      </c>
      <c r="M650" s="5">
        <f t="shared" si="10"/>
        <v>16.11</v>
      </c>
      <c r="N650" t="str" cm="1">
        <f t="array" ref="N650">_xlfn.IFS(I650="Rob","Robusta",I650="Exc","Excelsa",I650="Ara","Arabica",I650="Lib","Liberica")</f>
        <v>Robusta</v>
      </c>
      <c r="O650" t="str" cm="1">
        <f t="array" ref="O650">_xlfn.SWITCH($J650,"M","Medium","L","Light","D","Dark")</f>
        <v>Dark</v>
      </c>
      <c r="P650" t="str">
        <f>_xlfn.XLOOKUP(Table1[[#This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IF(_xlfn.XLOOKUP(C651,customers!$A$1:$A$1001,customers!$C$1:$C$1001,,0)=0,"Not _Provided",_xlfn.XLOOKUP(C651,customers!$A$1:$A$1001,customers!$C$1:$C$1001,,0))</f>
        <v>cdenysi1@is.gd</v>
      </c>
      <c r="H651" s="2" t="str">
        <f>_xlfn.XLOOKUP(C651,customers!$A$1:$A$1001,customers!$G$1:$G$1001,,0)</f>
        <v>United Kingdom</v>
      </c>
      <c r="I651" t="str">
        <f>INDEX(products!$B$1:$B$49,MATCH($D651,products!$A$1:$A$49,0))</f>
        <v>Lib</v>
      </c>
      <c r="J651" t="str">
        <f>INDEX(products!$C$1:$C$49,MATCH($D651,products!$A$1:$A$49,0))</f>
        <v>L</v>
      </c>
      <c r="K651" s="4">
        <f>INDEX(products!$D$1:$D$49,MATCH($D651,products!$A$1:$A$49,0))</f>
        <v>1</v>
      </c>
      <c r="L651" s="5">
        <f>INDEX(products!$E$1:$E$49,MATCH($D651,products!$A$1:$A$49,0))</f>
        <v>15.85</v>
      </c>
      <c r="M651" s="5">
        <f t="shared" si="10"/>
        <v>95.1</v>
      </c>
      <c r="N651" t="str" cm="1">
        <f t="array" ref="N651">_xlfn.IFS(I651="Rob","Robusta",I651="Exc","Excelsa",I651="Ara","Arabica",I651="Lib","Liberica")</f>
        <v>Liberica</v>
      </c>
      <c r="O651" t="str" cm="1">
        <f t="array" ref="O651">_xlfn.SWITCH($J651,"M","Medium","L","Light","D","Dark")</f>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IF(_xlfn.XLOOKUP(C652,customers!$A$1:$A$1001,customers!$C$1:$C$1001,,0)=0,"Not _Provided",_xlfn.XLOOKUP(C652,customers!$A$1:$A$1001,customers!$C$1:$C$1001,,0))</f>
        <v>cstebbingsi2@drupal.org</v>
      </c>
      <c r="H652" s="2" t="str">
        <f>_xlfn.XLOOKUP(C652,customers!$A$1:$A$1001,customers!$G$1:$G$1001,,0)</f>
        <v>United States</v>
      </c>
      <c r="I652" t="str">
        <f>INDEX(products!$B$1:$B$49,MATCH($D652,products!$A$1:$A$49,0))</f>
        <v>Rob</v>
      </c>
      <c r="J652" t="str">
        <f>INDEX(products!$C$1:$C$49,MATCH($D652,products!$A$1:$A$49,0))</f>
        <v>D</v>
      </c>
      <c r="K652" s="4">
        <f>INDEX(products!$D$1:$D$49,MATCH($D652,products!$A$1:$A$49,0))</f>
        <v>0.5</v>
      </c>
      <c r="L652" s="5">
        <f>INDEX(products!$E$1:$E$49,MATCH($D652,products!$A$1:$A$49,0))</f>
        <v>5.3699999999999992</v>
      </c>
      <c r="M652" s="5">
        <f t="shared" si="10"/>
        <v>5.3699999999999992</v>
      </c>
      <c r="N652" t="str" cm="1">
        <f t="array" ref="N652">_xlfn.IFS(I652="Rob","Robusta",I652="Exc","Excelsa",I652="Ara","Arabica",I652="Lib","Liberica")</f>
        <v>Robusta</v>
      </c>
      <c r="O652" t="str" cm="1">
        <f t="array" ref="O652">_xlfn.SWITCH($J652,"M","Medium","L","Light","D","Dark")</f>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IF(_xlfn.XLOOKUP(C653,customers!$A$1:$A$1001,customers!$C$1:$C$1001,,0)=0,"Not _Provided",_xlfn.XLOOKUP(C653,customers!$A$1:$A$1001,customers!$C$1:$C$1001,,0))</f>
        <v>Not _Provided</v>
      </c>
      <c r="H653" s="2" t="str">
        <f>_xlfn.XLOOKUP(C653,customers!$A$1:$A$1001,customers!$G$1:$G$1001,,0)</f>
        <v>United States</v>
      </c>
      <c r="I653" t="str">
        <f>INDEX(products!$B$1:$B$49,MATCH($D653,products!$A$1:$A$49,0))</f>
        <v>Rob</v>
      </c>
      <c r="J653" t="str">
        <f>INDEX(products!$C$1:$C$49,MATCH($D653,products!$A$1:$A$49,0))</f>
        <v>L</v>
      </c>
      <c r="K653" s="4">
        <f>INDEX(products!$D$1:$D$49,MATCH($D653,products!$A$1:$A$49,0))</f>
        <v>1</v>
      </c>
      <c r="L653" s="5">
        <f>INDEX(products!$E$1:$E$49,MATCH($D653,products!$A$1:$A$49,0))</f>
        <v>11.95</v>
      </c>
      <c r="M653" s="5">
        <f t="shared" si="10"/>
        <v>47.8</v>
      </c>
      <c r="N653" t="str" cm="1">
        <f t="array" ref="N653">_xlfn.IFS(I653="Rob","Robusta",I653="Exc","Excelsa",I653="Ara","Arabica",I653="Lib","Liberica")</f>
        <v>Robusta</v>
      </c>
      <c r="O653" t="str" cm="1">
        <f t="array" ref="O653">_xlfn.SWITCH($J653,"M","Medium","L","Light","D","Dark")</f>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IF(_xlfn.XLOOKUP(C654,customers!$A$1:$A$1001,customers!$C$1:$C$1001,,0)=0,"Not _Provided",_xlfn.XLOOKUP(C654,customers!$A$1:$A$1001,customers!$C$1:$C$1001,,0))</f>
        <v>rzywickii4@ifeng.com</v>
      </c>
      <c r="H654" s="2" t="str">
        <f>_xlfn.XLOOKUP(C654,customers!$A$1:$A$1001,customers!$G$1:$G$1001,,0)</f>
        <v>Ireland</v>
      </c>
      <c r="I654" t="str">
        <f>INDEX(products!$B$1:$B$49,MATCH($D654,products!$A$1:$A$49,0))</f>
        <v>Lib</v>
      </c>
      <c r="J654" t="str">
        <f>INDEX(products!$C$1:$C$49,MATCH($D654,products!$A$1:$A$49,0))</f>
        <v>L</v>
      </c>
      <c r="K654" s="4">
        <f>INDEX(products!$D$1:$D$49,MATCH($D654,products!$A$1:$A$49,0))</f>
        <v>1</v>
      </c>
      <c r="L654" s="5">
        <f>INDEX(products!$E$1:$E$49,MATCH($D654,products!$A$1:$A$49,0))</f>
        <v>15.85</v>
      </c>
      <c r="M654" s="5">
        <f t="shared" si="10"/>
        <v>63.4</v>
      </c>
      <c r="N654" t="str" cm="1">
        <f t="array" ref="N654">_xlfn.IFS(I654="Rob","Robusta",I654="Exc","Excelsa",I654="Ara","Arabica",I654="Lib","Liberica")</f>
        <v>Liberica</v>
      </c>
      <c r="O654" t="str" cm="1">
        <f t="array" ref="O654">_xlfn.SWITCH($J654,"M","Medium","L","Light","D","Dark")</f>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IF(_xlfn.XLOOKUP(C655,customers!$A$1:$A$1001,customers!$C$1:$C$1001,,0)=0,"Not _Provided",_xlfn.XLOOKUP(C655,customers!$A$1:$A$1001,customers!$C$1:$C$1001,,0))</f>
        <v>aburgetti5@moonfruit.com</v>
      </c>
      <c r="H655" s="2" t="str">
        <f>_xlfn.XLOOKUP(C655,customers!$A$1:$A$1001,customers!$G$1:$G$1001,,0)</f>
        <v>United States</v>
      </c>
      <c r="I655" t="str">
        <f>INDEX(products!$B$1:$B$49,MATCH($D655,products!$A$1:$A$49,0))</f>
        <v>Ara</v>
      </c>
      <c r="J655" t="str">
        <f>INDEX(products!$C$1:$C$49,MATCH($D655,products!$A$1:$A$49,0))</f>
        <v>M</v>
      </c>
      <c r="K655" s="4">
        <f>INDEX(products!$D$1:$D$49,MATCH($D655,products!$A$1:$A$49,0))</f>
        <v>2.5</v>
      </c>
      <c r="L655" s="5">
        <f>INDEX(products!$E$1:$E$49,MATCH($D655,products!$A$1:$A$49,0))</f>
        <v>25.874999999999996</v>
      </c>
      <c r="M655" s="5">
        <f t="shared" si="10"/>
        <v>103.49999999999999</v>
      </c>
      <c r="N655" t="str" cm="1">
        <f t="array" ref="N655">_xlfn.IFS(I655="Rob","Robusta",I655="Exc","Excelsa",I655="Ara","Arabica",I655="Lib","Liberica")</f>
        <v>Arabica</v>
      </c>
      <c r="O655" t="str" cm="1">
        <f t="array" ref="O655">_xlfn.SWITCH($J655,"M","Medium","L","Light","D","Dark")</f>
        <v>Medium</v>
      </c>
      <c r="P655" t="str">
        <f>_xlfn.XLOOKUP(Table1[[#This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IF(_xlfn.XLOOKUP(C656,customers!$A$1:$A$1001,customers!$C$1:$C$1001,,0)=0,"Not _Provided",_xlfn.XLOOKUP(C656,customers!$A$1:$A$1001,customers!$C$1:$C$1001,,0))</f>
        <v>mmalloyi6@seattletimes.com</v>
      </c>
      <c r="H656" s="2" t="str">
        <f>_xlfn.XLOOKUP(C656,customers!$A$1:$A$1001,customers!$G$1:$G$1001,,0)</f>
        <v>United States</v>
      </c>
      <c r="I656" t="str">
        <f>INDEX(products!$B$1:$B$49,MATCH($D656,products!$A$1:$A$49,0))</f>
        <v>Ara</v>
      </c>
      <c r="J656" t="str">
        <f>INDEX(products!$C$1:$C$49,MATCH($D656,products!$A$1:$A$49,0))</f>
        <v>D</v>
      </c>
      <c r="K656" s="4">
        <f>INDEX(products!$D$1:$D$49,MATCH($D656,products!$A$1:$A$49,0))</f>
        <v>2.5</v>
      </c>
      <c r="L656" s="5">
        <f>INDEX(products!$E$1:$E$49,MATCH($D656,products!$A$1:$A$49,0))</f>
        <v>22.884999999999998</v>
      </c>
      <c r="M656" s="5">
        <f t="shared" si="10"/>
        <v>68.655000000000001</v>
      </c>
      <c r="N656" t="str" cm="1">
        <f t="array" ref="N656">_xlfn.IFS(I656="Rob","Robusta",I656="Exc","Excelsa",I656="Ara","Arabica",I656="Lib","Liberica")</f>
        <v>Arabica</v>
      </c>
      <c r="O656" t="str" cm="1">
        <f t="array" ref="O656">_xlfn.SWITCH($J656,"M","Medium","L","Light","D","Dark")</f>
        <v>Dark</v>
      </c>
      <c r="P656" t="str">
        <f>_xlfn.XLOOKUP(Table1[[#This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IF(_xlfn.XLOOKUP(C657,customers!$A$1:$A$1001,customers!$C$1:$C$1001,,0)=0,"Not _Provided",_xlfn.XLOOKUP(C657,customers!$A$1:$A$1001,customers!$C$1:$C$1001,,0))</f>
        <v>mmcparlandi7@w3.org</v>
      </c>
      <c r="H657" s="2" t="str">
        <f>_xlfn.XLOOKUP(C657,customers!$A$1:$A$1001,customers!$G$1:$G$1001,,0)</f>
        <v>United States</v>
      </c>
      <c r="I657" t="str">
        <f>INDEX(products!$B$1:$B$49,MATCH($D657,products!$A$1:$A$49,0))</f>
        <v>Rob</v>
      </c>
      <c r="J657" t="str">
        <f>INDEX(products!$C$1:$C$49,MATCH($D657,products!$A$1:$A$49,0))</f>
        <v>M</v>
      </c>
      <c r="K657" s="4">
        <f>INDEX(products!$D$1:$D$49,MATCH($D657,products!$A$1:$A$49,0))</f>
        <v>2.5</v>
      </c>
      <c r="L657" s="5">
        <f>INDEX(products!$E$1:$E$49,MATCH($D657,products!$A$1:$A$49,0))</f>
        <v>22.884999999999998</v>
      </c>
      <c r="M657" s="5">
        <f t="shared" si="10"/>
        <v>45.769999999999996</v>
      </c>
      <c r="N657" t="str" cm="1">
        <f t="array" ref="N657">_xlfn.IFS(I657="Rob","Robusta",I657="Exc","Excelsa",I657="Ara","Arabica",I657="Lib","Liberica")</f>
        <v>Robusta</v>
      </c>
      <c r="O657" t="str" cm="1">
        <f t="array" ref="O657">_xlfn.SWITCH($J657,"M","Medium","L","Light","D","Dark")</f>
        <v>Medium</v>
      </c>
      <c r="P657" t="str">
        <f>_xlfn.XLOOKUP(Table1[[#This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IF(_xlfn.XLOOKUP(C658,customers!$A$1:$A$1001,customers!$C$1:$C$1001,,0)=0,"Not _Provided",_xlfn.XLOOKUP(C658,customers!$A$1:$A$1001,customers!$C$1:$C$1001,,0))</f>
        <v>sjennaroyi8@purevolume.com</v>
      </c>
      <c r="H658" s="2" t="str">
        <f>_xlfn.XLOOKUP(C658,customers!$A$1:$A$1001,customers!$G$1:$G$1001,,0)</f>
        <v>United States</v>
      </c>
      <c r="I658" t="str">
        <f>INDEX(products!$B$1:$B$49,MATCH($D658,products!$A$1:$A$49,0))</f>
        <v>Lib</v>
      </c>
      <c r="J658" t="str">
        <f>INDEX(products!$C$1:$C$49,MATCH($D658,products!$A$1:$A$49,0))</f>
        <v>D</v>
      </c>
      <c r="K658" s="4">
        <f>INDEX(products!$D$1:$D$49,MATCH($D658,products!$A$1:$A$49,0))</f>
        <v>1</v>
      </c>
      <c r="L658" s="5">
        <f>INDEX(products!$E$1:$E$49,MATCH($D658,products!$A$1:$A$49,0))</f>
        <v>12.95</v>
      </c>
      <c r="M658" s="5">
        <f t="shared" si="10"/>
        <v>51.8</v>
      </c>
      <c r="N658" t="str" cm="1">
        <f t="array" ref="N658">_xlfn.IFS(I658="Rob","Robusta",I658="Exc","Excelsa",I658="Ara","Arabica",I658="Lib","Liberica")</f>
        <v>Liberica</v>
      </c>
      <c r="O658" t="str" cm="1">
        <f t="array" ref="O658">_xlfn.SWITCH($J658,"M","Medium","L","Light","D","Dark")</f>
        <v>Dark</v>
      </c>
      <c r="P658" t="str">
        <f>_xlfn.XLOOKUP(Table1[[#This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IF(_xlfn.XLOOKUP(C659,customers!$A$1:$A$1001,customers!$C$1:$C$1001,,0)=0,"Not _Provided",_xlfn.XLOOKUP(C659,customers!$A$1:$A$1001,customers!$C$1:$C$1001,,0))</f>
        <v>wplacei9@wsj.com</v>
      </c>
      <c r="H659" s="2" t="str">
        <f>_xlfn.XLOOKUP(C659,customers!$A$1:$A$1001,customers!$G$1:$G$1001,,0)</f>
        <v>United States</v>
      </c>
      <c r="I659" t="str">
        <f>INDEX(products!$B$1:$B$49,MATCH($D659,products!$A$1:$A$49,0))</f>
        <v>Ara</v>
      </c>
      <c r="J659" t="str">
        <f>INDEX(products!$C$1:$C$49,MATCH($D659,products!$A$1:$A$49,0))</f>
        <v>M</v>
      </c>
      <c r="K659" s="4">
        <f>INDEX(products!$D$1:$D$49,MATCH($D659,products!$A$1:$A$49,0))</f>
        <v>0.5</v>
      </c>
      <c r="L659" s="5">
        <f>INDEX(products!$E$1:$E$49,MATCH($D659,products!$A$1:$A$49,0))</f>
        <v>6.75</v>
      </c>
      <c r="M659" s="5">
        <f t="shared" si="10"/>
        <v>13.5</v>
      </c>
      <c r="N659" t="str" cm="1">
        <f t="array" ref="N659">_xlfn.IFS(I659="Rob","Robusta",I659="Exc","Excelsa",I659="Ara","Arabica",I659="Lib","Liberica")</f>
        <v>Arabica</v>
      </c>
      <c r="O659" t="str" cm="1">
        <f t="array" ref="O659">_xlfn.SWITCH($J659,"M","Medium","L","Light","D","Dark")</f>
        <v>Medium</v>
      </c>
      <c r="P659" t="str">
        <f>_xlfn.XLOOKUP(Table1[[#This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IF(_xlfn.XLOOKUP(C660,customers!$A$1:$A$1001,customers!$C$1:$C$1001,,0)=0,"Not _Provided",_xlfn.XLOOKUP(C660,customers!$A$1:$A$1001,customers!$C$1:$C$1001,,0))</f>
        <v>jmillettik@addtoany.com</v>
      </c>
      <c r="H660" s="2" t="str">
        <f>_xlfn.XLOOKUP(C660,customers!$A$1:$A$1001,customers!$G$1:$G$1001,,0)</f>
        <v>United States</v>
      </c>
      <c r="I660" t="str">
        <f>INDEX(products!$B$1:$B$49,MATCH($D660,products!$A$1:$A$49,0))</f>
        <v>Exc</v>
      </c>
      <c r="J660" t="str">
        <f>INDEX(products!$C$1:$C$49,MATCH($D660,products!$A$1:$A$49,0))</f>
        <v>M</v>
      </c>
      <c r="K660" s="4">
        <f>INDEX(products!$D$1:$D$49,MATCH($D660,products!$A$1:$A$49,0))</f>
        <v>0.5</v>
      </c>
      <c r="L660" s="5">
        <f>INDEX(products!$E$1:$E$49,MATCH($D660,products!$A$1:$A$49,0))</f>
        <v>8.25</v>
      </c>
      <c r="M660" s="5">
        <f t="shared" si="10"/>
        <v>24.75</v>
      </c>
      <c r="N660" t="str" cm="1">
        <f t="array" ref="N660">_xlfn.IFS(I660="Rob","Robusta",I660="Exc","Excelsa",I660="Ara","Arabica",I660="Lib","Liberica")</f>
        <v>Excelsa</v>
      </c>
      <c r="O660" t="str" cm="1">
        <f t="array" ref="O660">_xlfn.SWITCH($J660,"M","Medium","L","Light","D","Dark")</f>
        <v>Medium</v>
      </c>
      <c r="P660" t="str">
        <f>_xlfn.XLOOKUP(Table1[[#This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IF(_xlfn.XLOOKUP(C661,customers!$A$1:$A$1001,customers!$C$1:$C$1001,,0)=0,"Not _Provided",_xlfn.XLOOKUP(C661,customers!$A$1:$A$1001,customers!$C$1:$C$1001,,0))</f>
        <v>dgadsdenib@google.com.hk</v>
      </c>
      <c r="H661" s="2" t="str">
        <f>_xlfn.XLOOKUP(C661,customers!$A$1:$A$1001,customers!$G$1:$G$1001,,0)</f>
        <v>Ireland</v>
      </c>
      <c r="I661" t="str">
        <f>INDEX(products!$B$1:$B$49,MATCH($D661,products!$A$1:$A$49,0))</f>
        <v>Ara</v>
      </c>
      <c r="J661" t="str">
        <f>INDEX(products!$C$1:$C$49,MATCH($D661,products!$A$1:$A$49,0))</f>
        <v>D</v>
      </c>
      <c r="K661" s="4">
        <f>INDEX(products!$D$1:$D$49,MATCH($D661,products!$A$1:$A$49,0))</f>
        <v>2.5</v>
      </c>
      <c r="L661" s="5">
        <f>INDEX(products!$E$1:$E$49,MATCH($D661,products!$A$1:$A$49,0))</f>
        <v>22.884999999999998</v>
      </c>
      <c r="M661" s="5">
        <f t="shared" si="10"/>
        <v>45.769999999999996</v>
      </c>
      <c r="N661" t="str" cm="1">
        <f t="array" ref="N661">_xlfn.IFS(I661="Rob","Robusta",I661="Exc","Excelsa",I661="Ara","Arabica",I661="Lib","Liberica")</f>
        <v>Arabica</v>
      </c>
      <c r="O661" t="str" cm="1">
        <f t="array" ref="O661">_xlfn.SWITCH($J661,"M","Medium","L","Light","D","Dark")</f>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IF(_xlfn.XLOOKUP(C662,customers!$A$1:$A$1001,customers!$C$1:$C$1001,,0)=0,"Not _Provided",_xlfn.XLOOKUP(C662,customers!$A$1:$A$1001,customers!$C$1:$C$1001,,0))</f>
        <v>vwakelinic@unesco.org</v>
      </c>
      <c r="H662" s="2" t="str">
        <f>_xlfn.XLOOKUP(C662,customers!$A$1:$A$1001,customers!$G$1:$G$1001,,0)</f>
        <v>United States</v>
      </c>
      <c r="I662" t="str">
        <f>INDEX(products!$B$1:$B$49,MATCH($D662,products!$A$1:$A$49,0))</f>
        <v>Exc</v>
      </c>
      <c r="J662" t="str">
        <f>INDEX(products!$C$1:$C$49,MATCH($D662,products!$A$1:$A$49,0))</f>
        <v>L</v>
      </c>
      <c r="K662" s="4">
        <f>INDEX(products!$D$1:$D$49,MATCH($D662,products!$A$1:$A$49,0))</f>
        <v>0.5</v>
      </c>
      <c r="L662" s="5">
        <f>INDEX(products!$E$1:$E$49,MATCH($D662,products!$A$1:$A$49,0))</f>
        <v>8.91</v>
      </c>
      <c r="M662" s="5">
        <f t="shared" si="10"/>
        <v>53.46</v>
      </c>
      <c r="N662" t="str" cm="1">
        <f t="array" ref="N662">_xlfn.IFS(I662="Rob","Robusta",I662="Exc","Excelsa",I662="Ara","Arabica",I662="Lib","Liberica")</f>
        <v>Excelsa</v>
      </c>
      <c r="O662" t="str" cm="1">
        <f t="array" ref="O662">_xlfn.SWITCH($J662,"M","Medium","L","Light","D","Dark")</f>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IF(_xlfn.XLOOKUP(C663,customers!$A$1:$A$1001,customers!$C$1:$C$1001,,0)=0,"Not _Provided",_xlfn.XLOOKUP(C663,customers!$A$1:$A$1001,customers!$C$1:$C$1001,,0))</f>
        <v>acampsallid@zimbio.com</v>
      </c>
      <c r="H663" s="2" t="str">
        <f>_xlfn.XLOOKUP(C663,customers!$A$1:$A$1001,customers!$G$1:$G$1001,,0)</f>
        <v>United States</v>
      </c>
      <c r="I663" t="str">
        <f>INDEX(products!$B$1:$B$49,MATCH($D663,products!$A$1:$A$49,0))</f>
        <v>Ara</v>
      </c>
      <c r="J663" t="str">
        <f>INDEX(products!$C$1:$C$49,MATCH($D663,products!$A$1:$A$49,0))</f>
        <v>M</v>
      </c>
      <c r="K663" s="4">
        <f>INDEX(products!$D$1:$D$49,MATCH($D663,products!$A$1:$A$49,0))</f>
        <v>0.2</v>
      </c>
      <c r="L663" s="5">
        <f>INDEX(products!$E$1:$E$49,MATCH($D663,products!$A$1:$A$49,0))</f>
        <v>3.375</v>
      </c>
      <c r="M663" s="5">
        <f t="shared" si="10"/>
        <v>20.25</v>
      </c>
      <c r="N663" t="str" cm="1">
        <f t="array" ref="N663">_xlfn.IFS(I663="Rob","Robusta",I663="Exc","Excelsa",I663="Ara","Arabica",I663="Lib","Liberica")</f>
        <v>Arabica</v>
      </c>
      <c r="O663" t="str" cm="1">
        <f t="array" ref="O663">_xlfn.SWITCH($J663,"M","Medium","L","Light","D","Dark")</f>
        <v>Medium</v>
      </c>
      <c r="P663" t="str">
        <f>_xlfn.XLOOKUP(Table1[[#This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IF(_xlfn.XLOOKUP(C664,customers!$A$1:$A$1001,customers!$C$1:$C$1001,,0)=0,"Not _Provided",_xlfn.XLOOKUP(C664,customers!$A$1:$A$1001,customers!$C$1:$C$1001,,0))</f>
        <v>smosebyie@stanford.edu</v>
      </c>
      <c r="H664" s="2" t="str">
        <f>_xlfn.XLOOKUP(C664,customers!$A$1:$A$1001,customers!$G$1:$G$1001,,0)</f>
        <v>United States</v>
      </c>
      <c r="I664" t="str">
        <f>INDEX(products!$B$1:$B$49,MATCH($D664,products!$A$1:$A$49,0))</f>
        <v>Lib</v>
      </c>
      <c r="J664" t="str">
        <f>INDEX(products!$C$1:$C$49,MATCH($D664,products!$A$1:$A$49,0))</f>
        <v>D</v>
      </c>
      <c r="K664" s="4">
        <f>INDEX(products!$D$1:$D$49,MATCH($D664,products!$A$1:$A$49,0))</f>
        <v>2.5</v>
      </c>
      <c r="L664" s="5">
        <f>INDEX(products!$E$1:$E$49,MATCH($D664,products!$A$1:$A$49,0))</f>
        <v>29.784999999999997</v>
      </c>
      <c r="M664" s="5">
        <f t="shared" si="10"/>
        <v>148.92499999999998</v>
      </c>
      <c r="N664" t="str" cm="1">
        <f t="array" ref="N664">_xlfn.IFS(I664="Rob","Robusta",I664="Exc","Excelsa",I664="Ara","Arabica",I664="Lib","Liberica")</f>
        <v>Liberica</v>
      </c>
      <c r="O664" t="str" cm="1">
        <f t="array" ref="O664">_xlfn.SWITCH($J664,"M","Medium","L","Light","D","Dark")</f>
        <v>Dark</v>
      </c>
      <c r="P664" t="str">
        <f>_xlfn.XLOOKUP(Table1[[#This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IF(_xlfn.XLOOKUP(C665,customers!$A$1:$A$1001,customers!$C$1:$C$1001,,0)=0,"Not _Provided",_xlfn.XLOOKUP(C665,customers!$A$1:$A$1001,customers!$C$1:$C$1001,,0))</f>
        <v>cwassif@prweb.com</v>
      </c>
      <c r="H665" s="2" t="str">
        <f>_xlfn.XLOOKUP(C665,customers!$A$1:$A$1001,customers!$G$1:$G$1001,,0)</f>
        <v>United States</v>
      </c>
      <c r="I665" t="str">
        <f>INDEX(products!$B$1:$B$49,MATCH($D665,products!$A$1:$A$49,0))</f>
        <v>Ara</v>
      </c>
      <c r="J665" t="str">
        <f>INDEX(products!$C$1:$C$49,MATCH($D665,products!$A$1:$A$49,0))</f>
        <v>M</v>
      </c>
      <c r="K665" s="4">
        <f>INDEX(products!$D$1:$D$49,MATCH($D665,products!$A$1:$A$49,0))</f>
        <v>1</v>
      </c>
      <c r="L665" s="5">
        <f>INDEX(products!$E$1:$E$49,MATCH($D665,products!$A$1:$A$49,0))</f>
        <v>11.25</v>
      </c>
      <c r="M665" s="5">
        <f t="shared" si="10"/>
        <v>67.5</v>
      </c>
      <c r="N665" t="str" cm="1">
        <f t="array" ref="N665">_xlfn.IFS(I665="Rob","Robusta",I665="Exc","Excelsa",I665="Ara","Arabica",I665="Lib","Liberica")</f>
        <v>Arabica</v>
      </c>
      <c r="O665" t="str" cm="1">
        <f t="array" ref="O665">_xlfn.SWITCH($J665,"M","Medium","L","Light","D","Dark")</f>
        <v>Medium</v>
      </c>
      <c r="P665" t="str">
        <f>_xlfn.XLOOKUP(Table1[[#This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IF(_xlfn.XLOOKUP(C666,customers!$A$1:$A$1001,customers!$C$1:$C$1001,,0)=0,"Not _Provided",_xlfn.XLOOKUP(C666,customers!$A$1:$A$1001,customers!$C$1:$C$1001,,0))</f>
        <v>isjostromig@pbs.org</v>
      </c>
      <c r="H666" s="2" t="str">
        <f>_xlfn.XLOOKUP(C666,customers!$A$1:$A$1001,customers!$G$1:$G$1001,,0)</f>
        <v>United States</v>
      </c>
      <c r="I666" t="str">
        <f>INDEX(products!$B$1:$B$49,MATCH($D666,products!$A$1:$A$49,0))</f>
        <v>Exc</v>
      </c>
      <c r="J666" t="str">
        <f>INDEX(products!$C$1:$C$49,MATCH($D666,products!$A$1:$A$49,0))</f>
        <v>D</v>
      </c>
      <c r="K666" s="4">
        <f>INDEX(products!$D$1:$D$49,MATCH($D666,products!$A$1:$A$49,0))</f>
        <v>1</v>
      </c>
      <c r="L666" s="5">
        <f>INDEX(products!$E$1:$E$49,MATCH($D666,products!$A$1:$A$49,0))</f>
        <v>12.15</v>
      </c>
      <c r="M666" s="5">
        <f t="shared" si="10"/>
        <v>72.900000000000006</v>
      </c>
      <c r="N666" t="str" cm="1">
        <f t="array" ref="N666">_xlfn.IFS(I666="Rob","Robusta",I666="Exc","Excelsa",I666="Ara","Arabica",I666="Lib","Liberica")</f>
        <v>Excelsa</v>
      </c>
      <c r="O666" t="str" cm="1">
        <f t="array" ref="O666">_xlfn.SWITCH($J666,"M","Medium","L","Light","D","Dark")</f>
        <v>Dark</v>
      </c>
      <c r="P666" t="str">
        <f>_xlfn.XLOOKUP(Table1[[#This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IF(_xlfn.XLOOKUP(C667,customers!$A$1:$A$1001,customers!$C$1:$C$1001,,0)=0,"Not _Provided",_xlfn.XLOOKUP(C667,customers!$A$1:$A$1001,customers!$C$1:$C$1001,,0))</f>
        <v>isjostromig@pbs.org</v>
      </c>
      <c r="H667" s="2" t="str">
        <f>_xlfn.XLOOKUP(C667,customers!$A$1:$A$1001,customers!$G$1:$G$1001,,0)</f>
        <v>United States</v>
      </c>
      <c r="I667" t="str">
        <f>INDEX(products!$B$1:$B$49,MATCH($D667,products!$A$1:$A$49,0))</f>
        <v>Lib</v>
      </c>
      <c r="J667" t="str">
        <f>INDEX(products!$C$1:$C$49,MATCH($D667,products!$A$1:$A$49,0))</f>
        <v>D</v>
      </c>
      <c r="K667" s="4">
        <f>INDEX(products!$D$1:$D$49,MATCH($D667,products!$A$1:$A$49,0))</f>
        <v>0.2</v>
      </c>
      <c r="L667" s="5">
        <f>INDEX(products!$E$1:$E$49,MATCH($D667,products!$A$1:$A$49,0))</f>
        <v>3.8849999999999998</v>
      </c>
      <c r="M667" s="5">
        <f t="shared" si="10"/>
        <v>7.77</v>
      </c>
      <c r="N667" t="str" cm="1">
        <f t="array" ref="N667">_xlfn.IFS(I667="Rob","Robusta",I667="Exc","Excelsa",I667="Ara","Arabica",I667="Lib","Liberica")</f>
        <v>Liberica</v>
      </c>
      <c r="O667" t="str" cm="1">
        <f t="array" ref="O667">_xlfn.SWITCH($J667,"M","Medium","L","Light","D","Dark")</f>
        <v>Dark</v>
      </c>
      <c r="P667" t="str">
        <f>_xlfn.XLOOKUP(Table1[[#This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IF(_xlfn.XLOOKUP(C668,customers!$A$1:$A$1001,customers!$C$1:$C$1001,,0)=0,"Not _Provided",_xlfn.XLOOKUP(C668,customers!$A$1:$A$1001,customers!$C$1:$C$1001,,0))</f>
        <v>jbranchettii@bravesites.com</v>
      </c>
      <c r="H668" s="2" t="str">
        <f>_xlfn.XLOOKUP(C668,customers!$A$1:$A$1001,customers!$G$1:$G$1001,,0)</f>
        <v>United States</v>
      </c>
      <c r="I668" t="str">
        <f>INDEX(products!$B$1:$B$49,MATCH($D668,products!$A$1:$A$49,0))</f>
        <v>Ara</v>
      </c>
      <c r="J668" t="str">
        <f>INDEX(products!$C$1:$C$49,MATCH($D668,products!$A$1:$A$49,0))</f>
        <v>D</v>
      </c>
      <c r="K668" s="4">
        <f>INDEX(products!$D$1:$D$49,MATCH($D668,products!$A$1:$A$49,0))</f>
        <v>2.5</v>
      </c>
      <c r="L668" s="5">
        <f>INDEX(products!$E$1:$E$49,MATCH($D668,products!$A$1:$A$49,0))</f>
        <v>22.884999999999998</v>
      </c>
      <c r="M668" s="5">
        <f t="shared" si="10"/>
        <v>91.539999999999992</v>
      </c>
      <c r="N668" t="str" cm="1">
        <f t="array" ref="N668">_xlfn.IFS(I668="Rob","Robusta",I668="Exc","Excelsa",I668="Ara","Arabica",I668="Lib","Liberica")</f>
        <v>Arabica</v>
      </c>
      <c r="O668" t="str" cm="1">
        <f t="array" ref="O668">_xlfn.SWITCH($J668,"M","Medium","L","Light","D","Dark")</f>
        <v>Dark</v>
      </c>
      <c r="P668" t="str">
        <f>_xlfn.XLOOKUP(Table1[[#This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IF(_xlfn.XLOOKUP(C669,customers!$A$1:$A$1001,customers!$C$1:$C$1001,,0)=0,"Not _Provided",_xlfn.XLOOKUP(C669,customers!$A$1:$A$1001,customers!$C$1:$C$1001,,0))</f>
        <v>nrudlandij@blogs.com</v>
      </c>
      <c r="H669" s="2" t="str">
        <f>_xlfn.XLOOKUP(C669,customers!$A$1:$A$1001,customers!$G$1:$G$1001,,0)</f>
        <v>Ireland</v>
      </c>
      <c r="I669" t="str">
        <f>INDEX(products!$B$1:$B$49,MATCH($D669,products!$A$1:$A$49,0))</f>
        <v>Ara</v>
      </c>
      <c r="J669" t="str">
        <f>INDEX(products!$C$1:$C$49,MATCH($D669,products!$A$1:$A$49,0))</f>
        <v>D</v>
      </c>
      <c r="K669" s="4">
        <f>INDEX(products!$D$1:$D$49,MATCH($D669,products!$A$1:$A$49,0))</f>
        <v>1</v>
      </c>
      <c r="L669" s="5">
        <f>INDEX(products!$E$1:$E$49,MATCH($D669,products!$A$1:$A$49,0))</f>
        <v>9.9499999999999993</v>
      </c>
      <c r="M669" s="5">
        <f t="shared" si="10"/>
        <v>59.699999999999996</v>
      </c>
      <c r="N669" t="str" cm="1">
        <f t="array" ref="N669">_xlfn.IFS(I669="Rob","Robusta",I669="Exc","Excelsa",I669="Ara","Arabica",I669="Lib","Liberica")</f>
        <v>Arabica</v>
      </c>
      <c r="O669" t="str" cm="1">
        <f t="array" ref="O669">_xlfn.SWITCH($J669,"M","Medium","L","Light","D","Dark")</f>
        <v>Dark</v>
      </c>
      <c r="P669" t="str">
        <f>_xlfn.XLOOKUP(Table1[[#This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IF(_xlfn.XLOOKUP(C670,customers!$A$1:$A$1001,customers!$C$1:$C$1001,,0)=0,"Not _Provided",_xlfn.XLOOKUP(C670,customers!$A$1:$A$1001,customers!$C$1:$C$1001,,0))</f>
        <v>jmillettik@addtoany.com</v>
      </c>
      <c r="H670" s="2" t="str">
        <f>_xlfn.XLOOKUP(C670,customers!$A$1:$A$1001,customers!$G$1:$G$1001,,0)</f>
        <v>United States</v>
      </c>
      <c r="I670" t="str">
        <f>INDEX(products!$B$1:$B$49,MATCH($D670,products!$A$1:$A$49,0))</f>
        <v>Rob</v>
      </c>
      <c r="J670" t="str">
        <f>INDEX(products!$C$1:$C$49,MATCH($D670,products!$A$1:$A$49,0))</f>
        <v>L</v>
      </c>
      <c r="K670" s="4">
        <f>INDEX(products!$D$1:$D$49,MATCH($D670,products!$A$1:$A$49,0))</f>
        <v>2.5</v>
      </c>
      <c r="L670" s="5">
        <f>INDEX(products!$E$1:$E$49,MATCH($D670,products!$A$1:$A$49,0))</f>
        <v>27.484999999999996</v>
      </c>
      <c r="M670" s="5">
        <f t="shared" si="10"/>
        <v>137.42499999999998</v>
      </c>
      <c r="N670" t="str" cm="1">
        <f t="array" ref="N670">_xlfn.IFS(I670="Rob","Robusta",I670="Exc","Excelsa",I670="Ara","Arabica",I670="Lib","Liberica")</f>
        <v>Robusta</v>
      </c>
      <c r="O670" t="str" cm="1">
        <f t="array" ref="O670">_xlfn.SWITCH($J670,"M","Medium","L","Light","D","Dark")</f>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IF(_xlfn.XLOOKUP(C671,customers!$A$1:$A$1001,customers!$C$1:$C$1001,,0)=0,"Not _Provided",_xlfn.XLOOKUP(C671,customers!$A$1:$A$1001,customers!$C$1:$C$1001,,0))</f>
        <v>ftourryil@google.de</v>
      </c>
      <c r="H671" s="2" t="str">
        <f>_xlfn.XLOOKUP(C671,customers!$A$1:$A$1001,customers!$G$1:$G$1001,,0)</f>
        <v>United States</v>
      </c>
      <c r="I671" t="str">
        <f>INDEX(products!$B$1:$B$49,MATCH($D671,products!$A$1:$A$49,0))</f>
        <v>Lib</v>
      </c>
      <c r="J671" t="str">
        <f>INDEX(products!$C$1:$C$49,MATCH($D671,products!$A$1:$A$49,0))</f>
        <v>M</v>
      </c>
      <c r="K671" s="4">
        <f>INDEX(products!$D$1:$D$49,MATCH($D671,products!$A$1:$A$49,0))</f>
        <v>2.5</v>
      </c>
      <c r="L671" s="5">
        <f>INDEX(products!$E$1:$E$49,MATCH($D671,products!$A$1:$A$49,0))</f>
        <v>33.464999999999996</v>
      </c>
      <c r="M671" s="5">
        <f t="shared" si="10"/>
        <v>66.929999999999993</v>
      </c>
      <c r="N671" t="str" cm="1">
        <f t="array" ref="N671">_xlfn.IFS(I671="Rob","Robusta",I671="Exc","Excelsa",I671="Ara","Arabica",I671="Lib","Liberica")</f>
        <v>Liberica</v>
      </c>
      <c r="O671" t="str" cm="1">
        <f t="array" ref="O671">_xlfn.SWITCH($J671,"M","Medium","L","Light","D","Dark")</f>
        <v>Medium</v>
      </c>
      <c r="P671" t="str">
        <f>_xlfn.XLOOKUP(Table1[[#This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IF(_xlfn.XLOOKUP(C672,customers!$A$1:$A$1001,customers!$C$1:$C$1001,,0)=0,"Not _Provided",_xlfn.XLOOKUP(C672,customers!$A$1:$A$1001,customers!$C$1:$C$1001,,0))</f>
        <v>cweatherallim@toplist.cz</v>
      </c>
      <c r="H672" s="2" t="str">
        <f>_xlfn.XLOOKUP(C672,customers!$A$1:$A$1001,customers!$G$1:$G$1001,,0)</f>
        <v>United States</v>
      </c>
      <c r="I672" t="str">
        <f>INDEX(products!$B$1:$B$49,MATCH($D672,products!$A$1:$A$49,0))</f>
        <v>Lib</v>
      </c>
      <c r="J672" t="str">
        <f>INDEX(products!$C$1:$C$49,MATCH($D672,products!$A$1:$A$49,0))</f>
        <v>M</v>
      </c>
      <c r="K672" s="4">
        <f>INDEX(products!$D$1:$D$49,MATCH($D672,products!$A$1:$A$49,0))</f>
        <v>0.2</v>
      </c>
      <c r="L672" s="5">
        <f>INDEX(products!$E$1:$E$49,MATCH($D672,products!$A$1:$A$49,0))</f>
        <v>4.3650000000000002</v>
      </c>
      <c r="M672" s="5">
        <f t="shared" si="10"/>
        <v>13.095000000000001</v>
      </c>
      <c r="N672" t="str" cm="1">
        <f t="array" ref="N672">_xlfn.IFS(I672="Rob","Robusta",I672="Exc","Excelsa",I672="Ara","Arabica",I672="Lib","Liberica")</f>
        <v>Liberica</v>
      </c>
      <c r="O672" t="str" cm="1">
        <f t="array" ref="O672">_xlfn.SWITCH($J672,"M","Medium","L","Light","D","Dark")</f>
        <v>Medium</v>
      </c>
      <c r="P672" t="str">
        <f>_xlfn.XLOOKUP(Table1[[#This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IF(_xlfn.XLOOKUP(C673,customers!$A$1:$A$1001,customers!$C$1:$C$1001,,0)=0,"Not _Provided",_xlfn.XLOOKUP(C673,customers!$A$1:$A$1001,customers!$C$1:$C$1001,,0))</f>
        <v>gheindrickin@usda.gov</v>
      </c>
      <c r="H673" s="2" t="str">
        <f>_xlfn.XLOOKUP(C673,customers!$A$1:$A$1001,customers!$G$1:$G$1001,,0)</f>
        <v>United States</v>
      </c>
      <c r="I673" t="str">
        <f>INDEX(products!$B$1:$B$49,MATCH($D673,products!$A$1:$A$49,0))</f>
        <v>Rob</v>
      </c>
      <c r="J673" t="str">
        <f>INDEX(products!$C$1:$C$49,MATCH($D673,products!$A$1:$A$49,0))</f>
        <v>L</v>
      </c>
      <c r="K673" s="4">
        <f>INDEX(products!$D$1:$D$49,MATCH($D673,products!$A$1:$A$49,0))</f>
        <v>1</v>
      </c>
      <c r="L673" s="5">
        <f>INDEX(products!$E$1:$E$49,MATCH($D673,products!$A$1:$A$49,0))</f>
        <v>11.95</v>
      </c>
      <c r="M673" s="5">
        <f t="shared" si="10"/>
        <v>59.75</v>
      </c>
      <c r="N673" t="str" cm="1">
        <f t="array" ref="N673">_xlfn.IFS(I673="Rob","Robusta",I673="Exc","Excelsa",I673="Ara","Arabica",I673="Lib","Liberica")</f>
        <v>Robusta</v>
      </c>
      <c r="O673" t="str" cm="1">
        <f t="array" ref="O673">_xlfn.SWITCH($J673,"M","Medium","L","Light","D","Dark")</f>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IF(_xlfn.XLOOKUP(C674,customers!$A$1:$A$1001,customers!$C$1:$C$1001,,0)=0,"Not _Provided",_xlfn.XLOOKUP(C674,customers!$A$1:$A$1001,customers!$C$1:$C$1001,,0))</f>
        <v>limasonio@discuz.net</v>
      </c>
      <c r="H674" s="2" t="str">
        <f>_xlfn.XLOOKUP(C674,customers!$A$1:$A$1001,customers!$G$1:$G$1001,,0)</f>
        <v>United States</v>
      </c>
      <c r="I674" t="str">
        <f>INDEX(products!$B$1:$B$49,MATCH($D674,products!$A$1:$A$49,0))</f>
        <v>Lib</v>
      </c>
      <c r="J674" t="str">
        <f>INDEX(products!$C$1:$C$49,MATCH($D674,products!$A$1:$A$49,0))</f>
        <v>M</v>
      </c>
      <c r="K674" s="4">
        <f>INDEX(products!$D$1:$D$49,MATCH($D674,products!$A$1:$A$49,0))</f>
        <v>0.5</v>
      </c>
      <c r="L674" s="5">
        <f>INDEX(products!$E$1:$E$49,MATCH($D674,products!$A$1:$A$49,0))</f>
        <v>8.73</v>
      </c>
      <c r="M674" s="5">
        <f t="shared" si="10"/>
        <v>43.650000000000006</v>
      </c>
      <c r="N674" t="str" cm="1">
        <f t="array" ref="N674">_xlfn.IFS(I674="Rob","Robusta",I674="Exc","Excelsa",I674="Ara","Arabica",I674="Lib","Liberica")</f>
        <v>Liberica</v>
      </c>
      <c r="O674" t="str" cm="1">
        <f t="array" ref="O674">_xlfn.SWITCH($J674,"M","Medium","L","Light","D","Dark")</f>
        <v>Medium</v>
      </c>
      <c r="P674" t="str">
        <f>_xlfn.XLOOKUP(Table1[[#This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IF(_xlfn.XLOOKUP(C675,customers!$A$1:$A$1001,customers!$C$1:$C$1001,,0)=0,"Not _Provided",_xlfn.XLOOKUP(C675,customers!$A$1:$A$1001,customers!$C$1:$C$1001,,0))</f>
        <v>hsaillip@odnoklassniki.ru</v>
      </c>
      <c r="H675" s="2" t="str">
        <f>_xlfn.XLOOKUP(C675,customers!$A$1:$A$1001,customers!$G$1:$G$1001,,0)</f>
        <v>United States</v>
      </c>
      <c r="I675" t="str">
        <f>INDEX(products!$B$1:$B$49,MATCH($D675,products!$A$1:$A$49,0))</f>
        <v>Exc</v>
      </c>
      <c r="J675" t="str">
        <f>INDEX(products!$C$1:$C$49,MATCH($D675,products!$A$1:$A$49,0))</f>
        <v>M</v>
      </c>
      <c r="K675" s="4">
        <f>INDEX(products!$D$1:$D$49,MATCH($D675,products!$A$1:$A$49,0))</f>
        <v>1</v>
      </c>
      <c r="L675" s="5">
        <f>INDEX(products!$E$1:$E$49,MATCH($D675,products!$A$1:$A$49,0))</f>
        <v>13.75</v>
      </c>
      <c r="M675" s="5">
        <f t="shared" si="10"/>
        <v>82.5</v>
      </c>
      <c r="N675" t="str" cm="1">
        <f t="array" ref="N675">_xlfn.IFS(I675="Rob","Robusta",I675="Exc","Excelsa",I675="Ara","Arabica",I675="Lib","Liberica")</f>
        <v>Excelsa</v>
      </c>
      <c r="O675" t="str" cm="1">
        <f t="array" ref="O675">_xlfn.SWITCH($J675,"M","Medium","L","Light","D","Dark")</f>
        <v>Medium</v>
      </c>
      <c r="P675" t="str">
        <f>_xlfn.XLOOKUP(Table1[[#This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IF(_xlfn.XLOOKUP(C676,customers!$A$1:$A$1001,customers!$C$1:$C$1001,,0)=0,"Not _Provided",_xlfn.XLOOKUP(C676,customers!$A$1:$A$1001,customers!$C$1:$C$1001,,0))</f>
        <v>hlarvoriq@last.fm</v>
      </c>
      <c r="H676" s="2" t="str">
        <f>_xlfn.XLOOKUP(C676,customers!$A$1:$A$1001,customers!$G$1:$G$1001,,0)</f>
        <v>United States</v>
      </c>
      <c r="I676" t="str">
        <f>INDEX(products!$B$1:$B$49,MATCH($D676,products!$A$1:$A$49,0))</f>
        <v>Ara</v>
      </c>
      <c r="J676" t="str">
        <f>INDEX(products!$C$1:$C$49,MATCH($D676,products!$A$1:$A$49,0))</f>
        <v>L</v>
      </c>
      <c r="K676" s="4">
        <f>INDEX(products!$D$1:$D$49,MATCH($D676,products!$A$1:$A$49,0))</f>
        <v>2.5</v>
      </c>
      <c r="L676" s="5">
        <f>INDEX(products!$E$1:$E$49,MATCH($D676,products!$A$1:$A$49,0))</f>
        <v>29.784999999999997</v>
      </c>
      <c r="M676" s="5">
        <f t="shared" si="10"/>
        <v>178.70999999999998</v>
      </c>
      <c r="N676" t="str" cm="1">
        <f t="array" ref="N676">_xlfn.IFS(I676="Rob","Robusta",I676="Exc","Excelsa",I676="Ara","Arabica",I676="Lib","Liberica")</f>
        <v>Arabica</v>
      </c>
      <c r="O676" t="str" cm="1">
        <f t="array" ref="O676">_xlfn.SWITCH($J676,"M","Medium","L","Light","D","Dark")</f>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IF(_xlfn.XLOOKUP(C677,customers!$A$1:$A$1001,customers!$C$1:$C$1001,,0)=0,"Not _Provided",_xlfn.XLOOKUP(C677,customers!$A$1:$A$1001,customers!$C$1:$C$1001,,0))</f>
        <v>Not _Provided</v>
      </c>
      <c r="H677" s="2" t="str">
        <f>_xlfn.XLOOKUP(C677,customers!$A$1:$A$1001,customers!$G$1:$G$1001,,0)</f>
        <v>United States</v>
      </c>
      <c r="I677" t="str">
        <f>INDEX(products!$B$1:$B$49,MATCH($D677,products!$A$1:$A$49,0))</f>
        <v>Lib</v>
      </c>
      <c r="J677" t="str">
        <f>INDEX(products!$C$1:$C$49,MATCH($D677,products!$A$1:$A$49,0))</f>
        <v>D</v>
      </c>
      <c r="K677" s="4">
        <f>INDEX(products!$D$1:$D$49,MATCH($D677,products!$A$1:$A$49,0))</f>
        <v>2.5</v>
      </c>
      <c r="L677" s="5">
        <f>INDEX(products!$E$1:$E$49,MATCH($D677,products!$A$1:$A$49,0))</f>
        <v>29.784999999999997</v>
      </c>
      <c r="M677" s="5">
        <f t="shared" si="10"/>
        <v>119.13999999999999</v>
      </c>
      <c r="N677" t="str" cm="1">
        <f t="array" ref="N677">_xlfn.IFS(I677="Rob","Robusta",I677="Exc","Excelsa",I677="Ara","Arabica",I677="Lib","Liberica")</f>
        <v>Liberica</v>
      </c>
      <c r="O677" t="str" cm="1">
        <f t="array" ref="O677">_xlfn.SWITCH($J677,"M","Medium","L","Light","D","Dark")</f>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IF(_xlfn.XLOOKUP(C678,customers!$A$1:$A$1001,customers!$C$1:$C$1001,,0)=0,"Not _Provided",_xlfn.XLOOKUP(C678,customers!$A$1:$A$1001,customers!$C$1:$C$1001,,0))</f>
        <v>Not _Provided</v>
      </c>
      <c r="H678" s="2" t="str">
        <f>_xlfn.XLOOKUP(C678,customers!$A$1:$A$1001,customers!$G$1:$G$1001,,0)</f>
        <v>United States</v>
      </c>
      <c r="I678" t="str">
        <f>INDEX(products!$B$1:$B$49,MATCH($D678,products!$A$1:$A$49,0))</f>
        <v>Lib</v>
      </c>
      <c r="J678" t="str">
        <f>INDEX(products!$C$1:$C$49,MATCH($D678,products!$A$1:$A$49,0))</f>
        <v>L</v>
      </c>
      <c r="K678" s="4">
        <f>INDEX(products!$D$1:$D$49,MATCH($D678,products!$A$1:$A$49,0))</f>
        <v>0.5</v>
      </c>
      <c r="L678" s="5">
        <f>INDEX(products!$E$1:$E$49,MATCH($D678,products!$A$1:$A$49,0))</f>
        <v>9.51</v>
      </c>
      <c r="M678" s="5">
        <f t="shared" si="10"/>
        <v>47.55</v>
      </c>
      <c r="N678" t="str" cm="1">
        <f t="array" ref="N678">_xlfn.IFS(I678="Rob","Robusta",I678="Exc","Excelsa",I678="Ara","Arabica",I678="Lib","Liberica")</f>
        <v>Liberica</v>
      </c>
      <c r="O678" t="str" cm="1">
        <f t="array" ref="O678">_xlfn.SWITCH($J678,"M","Medium","L","Light","D","Dark")</f>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IF(_xlfn.XLOOKUP(C679,customers!$A$1:$A$1001,customers!$C$1:$C$1001,,0)=0,"Not _Provided",_xlfn.XLOOKUP(C679,customers!$A$1:$A$1001,customers!$C$1:$C$1001,,0))</f>
        <v>cpenwardenit@mlb.com</v>
      </c>
      <c r="H679" s="2" t="str">
        <f>_xlfn.XLOOKUP(C679,customers!$A$1:$A$1001,customers!$G$1:$G$1001,,0)</f>
        <v>Ireland</v>
      </c>
      <c r="I679" t="str">
        <f>INDEX(products!$B$1:$B$49,MATCH($D679,products!$A$1:$A$49,0))</f>
        <v>Lib</v>
      </c>
      <c r="J679" t="str">
        <f>INDEX(products!$C$1:$C$49,MATCH($D679,products!$A$1:$A$49,0))</f>
        <v>M</v>
      </c>
      <c r="K679" s="4">
        <f>INDEX(products!$D$1:$D$49,MATCH($D679,products!$A$1:$A$49,0))</f>
        <v>0.5</v>
      </c>
      <c r="L679" s="5">
        <f>INDEX(products!$E$1:$E$49,MATCH($D679,products!$A$1:$A$49,0))</f>
        <v>8.73</v>
      </c>
      <c r="M679" s="5">
        <f t="shared" si="10"/>
        <v>43.650000000000006</v>
      </c>
      <c r="N679" t="str" cm="1">
        <f t="array" ref="N679">_xlfn.IFS(I679="Rob","Robusta",I679="Exc","Excelsa",I679="Ara","Arabica",I679="Lib","Liberica")</f>
        <v>Liberica</v>
      </c>
      <c r="O679" t="str" cm="1">
        <f t="array" ref="O679">_xlfn.SWITCH($J679,"M","Medium","L","Light","D","Dark")</f>
        <v>Medium</v>
      </c>
      <c r="P679" t="str">
        <f>_xlfn.XLOOKUP(Table1[[#This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IF(_xlfn.XLOOKUP(C680,customers!$A$1:$A$1001,customers!$C$1:$C$1001,,0)=0,"Not _Provided",_xlfn.XLOOKUP(C680,customers!$A$1:$A$1001,customers!$C$1:$C$1001,,0))</f>
        <v>mmiddisiu@dmoz.org</v>
      </c>
      <c r="H680" s="2" t="str">
        <f>_xlfn.XLOOKUP(C680,customers!$A$1:$A$1001,customers!$G$1:$G$1001,,0)</f>
        <v>United States</v>
      </c>
      <c r="I680" t="str">
        <f>INDEX(products!$B$1:$B$49,MATCH($D680,products!$A$1:$A$49,0))</f>
        <v>Ara</v>
      </c>
      <c r="J680" t="str">
        <f>INDEX(products!$C$1:$C$49,MATCH($D680,products!$A$1:$A$49,0))</f>
        <v>L</v>
      </c>
      <c r="K680" s="4">
        <f>INDEX(products!$D$1:$D$49,MATCH($D680,products!$A$1:$A$49,0))</f>
        <v>2.5</v>
      </c>
      <c r="L680" s="5">
        <f>INDEX(products!$E$1:$E$49,MATCH($D680,products!$A$1:$A$49,0))</f>
        <v>29.784999999999997</v>
      </c>
      <c r="M680" s="5">
        <f t="shared" si="10"/>
        <v>178.70999999999998</v>
      </c>
      <c r="N680" t="str" cm="1">
        <f t="array" ref="N680">_xlfn.IFS(I680="Rob","Robusta",I680="Exc","Excelsa",I680="Ara","Arabica",I680="Lib","Liberica")</f>
        <v>Arabica</v>
      </c>
      <c r="O680" t="str" cm="1">
        <f t="array" ref="O680">_xlfn.SWITCH($J680,"M","Medium","L","Light","D","Dark")</f>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IF(_xlfn.XLOOKUP(C681,customers!$A$1:$A$1001,customers!$C$1:$C$1001,,0)=0,"Not _Provided",_xlfn.XLOOKUP(C681,customers!$A$1:$A$1001,customers!$C$1:$C$1001,,0))</f>
        <v>avairowiv@studiopress.com</v>
      </c>
      <c r="H681" s="2" t="str">
        <f>_xlfn.XLOOKUP(C681,customers!$A$1:$A$1001,customers!$G$1:$G$1001,,0)</f>
        <v>United Kingdom</v>
      </c>
      <c r="I681" t="str">
        <f>INDEX(products!$B$1:$B$49,MATCH($D681,products!$A$1:$A$49,0))</f>
        <v>Rob</v>
      </c>
      <c r="J681" t="str">
        <f>INDEX(products!$C$1:$C$49,MATCH($D681,products!$A$1:$A$49,0))</f>
        <v>L</v>
      </c>
      <c r="K681" s="4">
        <f>INDEX(products!$D$1:$D$49,MATCH($D681,products!$A$1:$A$49,0))</f>
        <v>2.5</v>
      </c>
      <c r="L681" s="5">
        <f>INDEX(products!$E$1:$E$49,MATCH($D681,products!$A$1:$A$49,0))</f>
        <v>27.484999999999996</v>
      </c>
      <c r="M681" s="5">
        <f t="shared" si="10"/>
        <v>27.484999999999996</v>
      </c>
      <c r="N681" t="str" cm="1">
        <f t="array" ref="N681">_xlfn.IFS(I681="Rob","Robusta",I681="Exc","Excelsa",I681="Ara","Arabica",I681="Lib","Liberica")</f>
        <v>Robusta</v>
      </c>
      <c r="O681" t="str" cm="1">
        <f t="array" ref="O681">_xlfn.SWITCH($J681,"M","Medium","L","Light","D","Dark")</f>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IF(_xlfn.XLOOKUP(C682,customers!$A$1:$A$1001,customers!$C$1:$C$1001,,0)=0,"Not _Provided",_xlfn.XLOOKUP(C682,customers!$A$1:$A$1001,customers!$C$1:$C$1001,,0))</f>
        <v>agoldieiw@goo.gl</v>
      </c>
      <c r="H682" s="2" t="str">
        <f>_xlfn.XLOOKUP(C682,customers!$A$1:$A$1001,customers!$G$1:$G$1001,,0)</f>
        <v>United States</v>
      </c>
      <c r="I682" t="str">
        <f>INDEX(products!$B$1:$B$49,MATCH($D682,products!$A$1:$A$49,0))</f>
        <v>Ara</v>
      </c>
      <c r="J682" t="str">
        <f>INDEX(products!$C$1:$C$49,MATCH($D682,products!$A$1:$A$49,0))</f>
        <v>M</v>
      </c>
      <c r="K682" s="4">
        <f>INDEX(products!$D$1:$D$49,MATCH($D682,products!$A$1:$A$49,0))</f>
        <v>1</v>
      </c>
      <c r="L682" s="5">
        <f>INDEX(products!$E$1:$E$49,MATCH($D682,products!$A$1:$A$49,0))</f>
        <v>11.25</v>
      </c>
      <c r="M682" s="5">
        <f t="shared" si="10"/>
        <v>56.25</v>
      </c>
      <c r="N682" t="str" cm="1">
        <f t="array" ref="N682">_xlfn.IFS(I682="Rob","Robusta",I682="Exc","Excelsa",I682="Ara","Arabica",I682="Lib","Liberica")</f>
        <v>Arabica</v>
      </c>
      <c r="O682" t="str" cm="1">
        <f t="array" ref="O682">_xlfn.SWITCH($J682,"M","Medium","L","Light","D","Dark")</f>
        <v>Medium</v>
      </c>
      <c r="P682" t="str">
        <f>_xlfn.XLOOKUP(Table1[[#This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IF(_xlfn.XLOOKUP(C683,customers!$A$1:$A$1001,customers!$C$1:$C$1001,,0)=0,"Not _Provided",_xlfn.XLOOKUP(C683,customers!$A$1:$A$1001,customers!$C$1:$C$1001,,0))</f>
        <v>nayrisix@t-online.de</v>
      </c>
      <c r="H683" s="2" t="str">
        <f>_xlfn.XLOOKUP(C683,customers!$A$1:$A$1001,customers!$G$1:$G$1001,,0)</f>
        <v>United Kingdom</v>
      </c>
      <c r="I683" t="str">
        <f>INDEX(products!$B$1:$B$49,MATCH($D683,products!$A$1:$A$49,0))</f>
        <v>Lib</v>
      </c>
      <c r="J683" t="str">
        <f>INDEX(products!$C$1:$C$49,MATCH($D683,products!$A$1:$A$49,0))</f>
        <v>L</v>
      </c>
      <c r="K683" s="4">
        <f>INDEX(products!$D$1:$D$49,MATCH($D683,products!$A$1:$A$49,0))</f>
        <v>0.2</v>
      </c>
      <c r="L683" s="5">
        <f>INDEX(products!$E$1:$E$49,MATCH($D683,products!$A$1:$A$49,0))</f>
        <v>4.7549999999999999</v>
      </c>
      <c r="M683" s="5">
        <f t="shared" si="10"/>
        <v>9.51</v>
      </c>
      <c r="N683" t="str" cm="1">
        <f t="array" ref="N683">_xlfn.IFS(I683="Rob","Robusta",I683="Exc","Excelsa",I683="Ara","Arabica",I683="Lib","Liberica")</f>
        <v>Liberica</v>
      </c>
      <c r="O683" t="str" cm="1">
        <f t="array" ref="O683">_xlfn.SWITCH($J683,"M","Medium","L","Light","D","Dark")</f>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IF(_xlfn.XLOOKUP(C684,customers!$A$1:$A$1001,customers!$C$1:$C$1001,,0)=0,"Not _Provided",_xlfn.XLOOKUP(C684,customers!$A$1:$A$1001,customers!$C$1:$C$1001,,0))</f>
        <v>lbenediktovichiy@wunderground.com</v>
      </c>
      <c r="H684" s="2" t="str">
        <f>_xlfn.XLOOKUP(C684,customers!$A$1:$A$1001,customers!$G$1:$G$1001,,0)</f>
        <v>United States</v>
      </c>
      <c r="I684" t="str">
        <f>INDEX(products!$B$1:$B$49,MATCH($D684,products!$A$1:$A$49,0))</f>
        <v>Exc</v>
      </c>
      <c r="J684" t="str">
        <f>INDEX(products!$C$1:$C$49,MATCH($D684,products!$A$1:$A$49,0))</f>
        <v>M</v>
      </c>
      <c r="K684" s="4">
        <f>INDEX(products!$D$1:$D$49,MATCH($D684,products!$A$1:$A$49,0))</f>
        <v>0.2</v>
      </c>
      <c r="L684" s="5">
        <f>INDEX(products!$E$1:$E$49,MATCH($D684,products!$A$1:$A$49,0))</f>
        <v>4.125</v>
      </c>
      <c r="M684" s="5">
        <f t="shared" si="10"/>
        <v>8.25</v>
      </c>
      <c r="N684" t="str" cm="1">
        <f t="array" ref="N684">_xlfn.IFS(I684="Rob","Robusta",I684="Exc","Excelsa",I684="Ara","Arabica",I684="Lib","Liberica")</f>
        <v>Excelsa</v>
      </c>
      <c r="O684" t="str" cm="1">
        <f t="array" ref="O684">_xlfn.SWITCH($J684,"M","Medium","L","Light","D","Dark")</f>
        <v>Medium</v>
      </c>
      <c r="P684" t="str">
        <f>_xlfn.XLOOKUP(Table1[[#This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IF(_xlfn.XLOOKUP(C685,customers!$A$1:$A$1001,customers!$C$1:$C$1001,,0)=0,"Not _Provided",_xlfn.XLOOKUP(C685,customers!$A$1:$A$1001,customers!$C$1:$C$1001,,0))</f>
        <v>tjacobovitziz@cbc.ca</v>
      </c>
      <c r="H685" s="2" t="str">
        <f>_xlfn.XLOOKUP(C685,customers!$A$1:$A$1001,customers!$G$1:$G$1001,,0)</f>
        <v>United States</v>
      </c>
      <c r="I685" t="str">
        <f>INDEX(products!$B$1:$B$49,MATCH($D685,products!$A$1:$A$49,0))</f>
        <v>Lib</v>
      </c>
      <c r="J685" t="str">
        <f>INDEX(products!$C$1:$C$49,MATCH($D685,products!$A$1:$A$49,0))</f>
        <v>D</v>
      </c>
      <c r="K685" s="4">
        <f>INDEX(products!$D$1:$D$49,MATCH($D685,products!$A$1:$A$49,0))</f>
        <v>0.5</v>
      </c>
      <c r="L685" s="5">
        <f>INDEX(products!$E$1:$E$49,MATCH($D685,products!$A$1:$A$49,0))</f>
        <v>7.77</v>
      </c>
      <c r="M685" s="5">
        <f t="shared" si="10"/>
        <v>46.62</v>
      </c>
      <c r="N685" t="str" cm="1">
        <f t="array" ref="N685">_xlfn.IFS(I685="Rob","Robusta",I685="Exc","Excelsa",I685="Ara","Arabica",I685="Lib","Liberica")</f>
        <v>Liberica</v>
      </c>
      <c r="O685" t="str" cm="1">
        <f t="array" ref="O685">_xlfn.SWITCH($J685,"M","Medium","L","Light","D","Dark")</f>
        <v>Dark</v>
      </c>
      <c r="P685" t="str">
        <f>_xlfn.XLOOKUP(Table1[[#This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IF(_xlfn.XLOOKUP(C686,customers!$A$1:$A$1001,customers!$C$1:$C$1001,,0)=0,"Not _Provided",_xlfn.XLOOKUP(C686,customers!$A$1:$A$1001,customers!$C$1:$C$1001,,0))</f>
        <v>Not _Provided</v>
      </c>
      <c r="H686" s="2" t="str">
        <f>_xlfn.XLOOKUP(C686,customers!$A$1:$A$1001,customers!$G$1:$G$1001,,0)</f>
        <v>United States</v>
      </c>
      <c r="I686" t="str">
        <f>INDEX(products!$B$1:$B$49,MATCH($D686,products!$A$1:$A$49,0))</f>
        <v>Rob</v>
      </c>
      <c r="J686" t="str">
        <f>INDEX(products!$C$1:$C$49,MATCH($D686,products!$A$1:$A$49,0))</f>
        <v>L</v>
      </c>
      <c r="K686" s="4">
        <f>INDEX(products!$D$1:$D$49,MATCH($D686,products!$A$1:$A$49,0))</f>
        <v>1</v>
      </c>
      <c r="L686" s="5">
        <f>INDEX(products!$E$1:$E$49,MATCH($D686,products!$A$1:$A$49,0))</f>
        <v>11.95</v>
      </c>
      <c r="M686" s="5">
        <f t="shared" si="10"/>
        <v>71.699999999999989</v>
      </c>
      <c r="N686" t="str" cm="1">
        <f t="array" ref="N686">_xlfn.IFS(I686="Rob","Robusta",I686="Exc","Excelsa",I686="Ara","Arabica",I686="Lib","Liberica")</f>
        <v>Robusta</v>
      </c>
      <c r="O686" t="str" cm="1">
        <f t="array" ref="O686">_xlfn.SWITCH($J686,"M","Medium","L","Light","D","Dark")</f>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IF(_xlfn.XLOOKUP(C687,customers!$A$1:$A$1001,customers!$C$1:$C$1001,,0)=0,"Not _Provided",_xlfn.XLOOKUP(C687,customers!$A$1:$A$1001,customers!$C$1:$C$1001,,0))</f>
        <v>jdruittj1@feedburner.com</v>
      </c>
      <c r="H687" s="2" t="str">
        <f>_xlfn.XLOOKUP(C687,customers!$A$1:$A$1001,customers!$G$1:$G$1001,,0)</f>
        <v>United States</v>
      </c>
      <c r="I687" t="str">
        <f>INDEX(products!$B$1:$B$49,MATCH($D687,products!$A$1:$A$49,0))</f>
        <v>Lib</v>
      </c>
      <c r="J687" t="str">
        <f>INDEX(products!$C$1:$C$49,MATCH($D687,products!$A$1:$A$49,0))</f>
        <v>L</v>
      </c>
      <c r="K687" s="4">
        <f>INDEX(products!$D$1:$D$49,MATCH($D687,products!$A$1:$A$49,0))</f>
        <v>2.5</v>
      </c>
      <c r="L687" s="5">
        <f>INDEX(products!$E$1:$E$49,MATCH($D687,products!$A$1:$A$49,0))</f>
        <v>36.454999999999998</v>
      </c>
      <c r="M687" s="5">
        <f t="shared" si="10"/>
        <v>72.91</v>
      </c>
      <c r="N687" t="str" cm="1">
        <f t="array" ref="N687">_xlfn.IFS(I687="Rob","Robusta",I687="Exc","Excelsa",I687="Ara","Arabica",I687="Lib","Liberica")</f>
        <v>Liberica</v>
      </c>
      <c r="O687" t="str" cm="1">
        <f t="array" ref="O687">_xlfn.SWITCH($J687,"M","Medium","L","Light","D","Dark")</f>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IF(_xlfn.XLOOKUP(C688,customers!$A$1:$A$1001,customers!$C$1:$C$1001,,0)=0,"Not _Provided",_xlfn.XLOOKUP(C688,customers!$A$1:$A$1001,customers!$C$1:$C$1001,,0))</f>
        <v>dshortallj2@wikipedia.org</v>
      </c>
      <c r="H688" s="2" t="str">
        <f>_xlfn.XLOOKUP(C688,customers!$A$1:$A$1001,customers!$G$1:$G$1001,,0)</f>
        <v>United States</v>
      </c>
      <c r="I688" t="str">
        <f>INDEX(products!$B$1:$B$49,MATCH($D688,products!$A$1:$A$49,0))</f>
        <v>Rob</v>
      </c>
      <c r="J688" t="str">
        <f>INDEX(products!$C$1:$C$49,MATCH($D688,products!$A$1:$A$49,0))</f>
        <v>D</v>
      </c>
      <c r="K688" s="4">
        <f>INDEX(products!$D$1:$D$49,MATCH($D688,products!$A$1:$A$49,0))</f>
        <v>0.2</v>
      </c>
      <c r="L688" s="5">
        <f>INDEX(products!$E$1:$E$49,MATCH($D688,products!$A$1:$A$49,0))</f>
        <v>2.6849999999999996</v>
      </c>
      <c r="M688" s="5">
        <f t="shared" si="10"/>
        <v>8.0549999999999997</v>
      </c>
      <c r="N688" t="str" cm="1">
        <f t="array" ref="N688">_xlfn.IFS(I688="Rob","Robusta",I688="Exc","Excelsa",I688="Ara","Arabica",I688="Lib","Liberica")</f>
        <v>Robusta</v>
      </c>
      <c r="O688" t="str" cm="1">
        <f t="array" ref="O688">_xlfn.SWITCH($J688,"M","Medium","L","Light","D","Dark")</f>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IF(_xlfn.XLOOKUP(C689,customers!$A$1:$A$1001,customers!$C$1:$C$1001,,0)=0,"Not _Provided",_xlfn.XLOOKUP(C689,customers!$A$1:$A$1001,customers!$C$1:$C$1001,,0))</f>
        <v>wcottierj3@cafepress.com</v>
      </c>
      <c r="H689" s="2" t="str">
        <f>_xlfn.XLOOKUP(C689,customers!$A$1:$A$1001,customers!$G$1:$G$1001,,0)</f>
        <v>United States</v>
      </c>
      <c r="I689" t="str">
        <f>INDEX(products!$B$1:$B$49,MATCH($D689,products!$A$1:$A$49,0))</f>
        <v>Exc</v>
      </c>
      <c r="J689" t="str">
        <f>INDEX(products!$C$1:$C$49,MATCH($D689,products!$A$1:$A$49,0))</f>
        <v>M</v>
      </c>
      <c r="K689" s="4">
        <f>INDEX(products!$D$1:$D$49,MATCH($D689,products!$A$1:$A$49,0))</f>
        <v>0.5</v>
      </c>
      <c r="L689" s="5">
        <f>INDEX(products!$E$1:$E$49,MATCH($D689,products!$A$1:$A$49,0))</f>
        <v>8.25</v>
      </c>
      <c r="M689" s="5">
        <f t="shared" si="10"/>
        <v>16.5</v>
      </c>
      <c r="N689" t="str" cm="1">
        <f t="array" ref="N689">_xlfn.IFS(I689="Rob","Robusta",I689="Exc","Excelsa",I689="Ara","Arabica",I689="Lib","Liberica")</f>
        <v>Excelsa</v>
      </c>
      <c r="O689" t="str" cm="1">
        <f t="array" ref="O689">_xlfn.SWITCH($J689,"M","Medium","L","Light","D","Dark")</f>
        <v>Medium</v>
      </c>
      <c r="P689" t="str">
        <f>_xlfn.XLOOKUP(Table1[[#This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IF(_xlfn.XLOOKUP(C690,customers!$A$1:$A$1001,customers!$C$1:$C$1001,,0)=0,"Not _Provided",_xlfn.XLOOKUP(C690,customers!$A$1:$A$1001,customers!$C$1:$C$1001,,0))</f>
        <v>kgrinstedj4@google.com.br</v>
      </c>
      <c r="H690" s="2" t="str">
        <f>_xlfn.XLOOKUP(C690,customers!$A$1:$A$1001,customers!$G$1:$G$1001,,0)</f>
        <v>Ireland</v>
      </c>
      <c r="I690" t="str">
        <f>INDEX(products!$B$1:$B$49,MATCH($D690,products!$A$1:$A$49,0))</f>
        <v>Ara</v>
      </c>
      <c r="J690" t="str">
        <f>INDEX(products!$C$1:$C$49,MATCH($D690,products!$A$1:$A$49,0))</f>
        <v>L</v>
      </c>
      <c r="K690" s="4">
        <f>INDEX(products!$D$1:$D$49,MATCH($D690,products!$A$1:$A$49,0))</f>
        <v>1</v>
      </c>
      <c r="L690" s="5">
        <f>INDEX(products!$E$1:$E$49,MATCH($D690,products!$A$1:$A$49,0))</f>
        <v>12.95</v>
      </c>
      <c r="M690" s="5">
        <f t="shared" si="10"/>
        <v>64.75</v>
      </c>
      <c r="N690" t="str" cm="1">
        <f t="array" ref="N690">_xlfn.IFS(I690="Rob","Robusta",I690="Exc","Excelsa",I690="Ara","Arabica",I690="Lib","Liberica")</f>
        <v>Arabica</v>
      </c>
      <c r="O690" t="str" cm="1">
        <f t="array" ref="O690">_xlfn.SWITCH($J690,"M","Medium","L","Light","D","Dark")</f>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IF(_xlfn.XLOOKUP(C691,customers!$A$1:$A$1001,customers!$C$1:$C$1001,,0)=0,"Not _Provided",_xlfn.XLOOKUP(C691,customers!$A$1:$A$1001,customers!$C$1:$C$1001,,0))</f>
        <v>dskynerj5@hubpages.com</v>
      </c>
      <c r="H691" s="2" t="str">
        <f>_xlfn.XLOOKUP(C691,customers!$A$1:$A$1001,customers!$G$1:$G$1001,,0)</f>
        <v>United States</v>
      </c>
      <c r="I691" t="str">
        <f>INDEX(products!$B$1:$B$49,MATCH($D691,products!$A$1:$A$49,0))</f>
        <v>Ara</v>
      </c>
      <c r="J691" t="str">
        <f>INDEX(products!$C$1:$C$49,MATCH($D691,products!$A$1:$A$49,0))</f>
        <v>M</v>
      </c>
      <c r="K691" s="4">
        <f>INDEX(products!$D$1:$D$49,MATCH($D691,products!$A$1:$A$49,0))</f>
        <v>0.5</v>
      </c>
      <c r="L691" s="5">
        <f>INDEX(products!$E$1:$E$49,MATCH($D691,products!$A$1:$A$49,0))</f>
        <v>6.75</v>
      </c>
      <c r="M691" s="5">
        <f t="shared" si="10"/>
        <v>33.75</v>
      </c>
      <c r="N691" t="str" cm="1">
        <f t="array" ref="N691">_xlfn.IFS(I691="Rob","Robusta",I691="Exc","Excelsa",I691="Ara","Arabica",I691="Lib","Liberica")</f>
        <v>Arabica</v>
      </c>
      <c r="O691" t="str" cm="1">
        <f t="array" ref="O691">_xlfn.SWITCH($J691,"M","Medium","L","Light","D","Dark")</f>
        <v>Medium</v>
      </c>
      <c r="P691" t="str">
        <f>_xlfn.XLOOKUP(Table1[[#This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IF(_xlfn.XLOOKUP(C692,customers!$A$1:$A$1001,customers!$C$1:$C$1001,,0)=0,"Not _Provided",_xlfn.XLOOKUP(C692,customers!$A$1:$A$1001,customers!$C$1:$C$1001,,0))</f>
        <v>Not _Provided</v>
      </c>
      <c r="H692" s="2" t="str">
        <f>_xlfn.XLOOKUP(C692,customers!$A$1:$A$1001,customers!$G$1:$G$1001,,0)</f>
        <v>United States</v>
      </c>
      <c r="I692" t="str">
        <f>INDEX(products!$B$1:$B$49,MATCH($D692,products!$A$1:$A$49,0))</f>
        <v>Lib</v>
      </c>
      <c r="J692" t="str">
        <f>INDEX(products!$C$1:$C$49,MATCH($D692,products!$A$1:$A$49,0))</f>
        <v>D</v>
      </c>
      <c r="K692" s="4">
        <f>INDEX(products!$D$1:$D$49,MATCH($D692,products!$A$1:$A$49,0))</f>
        <v>2.5</v>
      </c>
      <c r="L692" s="5">
        <f>INDEX(products!$E$1:$E$49,MATCH($D692,products!$A$1:$A$49,0))</f>
        <v>29.784999999999997</v>
      </c>
      <c r="M692" s="5">
        <f t="shared" si="10"/>
        <v>178.70999999999998</v>
      </c>
      <c r="N692" t="str" cm="1">
        <f t="array" ref="N692">_xlfn.IFS(I692="Rob","Robusta",I692="Exc","Excelsa",I692="Ara","Arabica",I692="Lib","Liberica")</f>
        <v>Liberica</v>
      </c>
      <c r="O692" t="str" cm="1">
        <f t="array" ref="O692">_xlfn.SWITCH($J692,"M","Medium","L","Light","D","Dark")</f>
        <v>Dark</v>
      </c>
      <c r="P692" t="str">
        <f>_xlfn.XLOOKUP(Table1[[#This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IF(_xlfn.XLOOKUP(C693,customers!$A$1:$A$1001,customers!$C$1:$C$1001,,0)=0,"Not _Provided",_xlfn.XLOOKUP(C693,customers!$A$1:$A$1001,customers!$C$1:$C$1001,,0))</f>
        <v>jdymokeje@prnewswire.com</v>
      </c>
      <c r="H693" s="2" t="str">
        <f>_xlfn.XLOOKUP(C693,customers!$A$1:$A$1001,customers!$G$1:$G$1001,,0)</f>
        <v>Ireland</v>
      </c>
      <c r="I693" t="str">
        <f>INDEX(products!$B$1:$B$49,MATCH($D693,products!$A$1:$A$49,0))</f>
        <v>Ara</v>
      </c>
      <c r="J693" t="str">
        <f>INDEX(products!$C$1:$C$49,MATCH($D693,products!$A$1:$A$49,0))</f>
        <v>M</v>
      </c>
      <c r="K693" s="4">
        <f>INDEX(products!$D$1:$D$49,MATCH($D693,products!$A$1:$A$49,0))</f>
        <v>1</v>
      </c>
      <c r="L693" s="5">
        <f>INDEX(products!$E$1:$E$49,MATCH($D693,products!$A$1:$A$49,0))</f>
        <v>11.25</v>
      </c>
      <c r="M693" s="5">
        <f t="shared" si="10"/>
        <v>22.5</v>
      </c>
      <c r="N693" t="str" cm="1">
        <f t="array" ref="N693">_xlfn.IFS(I693="Rob","Robusta",I693="Exc","Excelsa",I693="Ara","Arabica",I693="Lib","Liberica")</f>
        <v>Arabica</v>
      </c>
      <c r="O693" t="str" cm="1">
        <f t="array" ref="O693">_xlfn.SWITCH($J693,"M","Medium","L","Light","D","Dark")</f>
        <v>Medium</v>
      </c>
      <c r="P693" t="str">
        <f>_xlfn.XLOOKUP(Table1[[#This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IF(_xlfn.XLOOKUP(C694,customers!$A$1:$A$1001,customers!$C$1:$C$1001,,0)=0,"Not _Provided",_xlfn.XLOOKUP(C694,customers!$A$1:$A$1001,customers!$C$1:$C$1001,,0))</f>
        <v>aweinmannj8@shinystat.com</v>
      </c>
      <c r="H694" s="2" t="str">
        <f>_xlfn.XLOOKUP(C694,customers!$A$1:$A$1001,customers!$G$1:$G$1001,,0)</f>
        <v>United States</v>
      </c>
      <c r="I694" t="str">
        <f>INDEX(products!$B$1:$B$49,MATCH($D694,products!$A$1:$A$49,0))</f>
        <v>Lib</v>
      </c>
      <c r="J694" t="str">
        <f>INDEX(products!$C$1:$C$49,MATCH($D694,products!$A$1:$A$49,0))</f>
        <v>D</v>
      </c>
      <c r="K694" s="4">
        <f>INDEX(products!$D$1:$D$49,MATCH($D694,products!$A$1:$A$49,0))</f>
        <v>1</v>
      </c>
      <c r="L694" s="5">
        <f>INDEX(products!$E$1:$E$49,MATCH($D694,products!$A$1:$A$49,0))</f>
        <v>12.95</v>
      </c>
      <c r="M694" s="5">
        <f t="shared" si="10"/>
        <v>12.95</v>
      </c>
      <c r="N694" t="str" cm="1">
        <f t="array" ref="N694">_xlfn.IFS(I694="Rob","Robusta",I694="Exc","Excelsa",I694="Ara","Arabica",I694="Lib","Liberica")</f>
        <v>Liberica</v>
      </c>
      <c r="O694" t="str" cm="1">
        <f t="array" ref="O694">_xlfn.SWITCH($J694,"M","Medium","L","Light","D","Dark")</f>
        <v>Dark</v>
      </c>
      <c r="P694" t="str">
        <f>_xlfn.XLOOKUP(Table1[[#This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IF(_xlfn.XLOOKUP(C695,customers!$A$1:$A$1001,customers!$C$1:$C$1001,,0)=0,"Not _Provided",_xlfn.XLOOKUP(C695,customers!$A$1:$A$1001,customers!$C$1:$C$1001,,0))</f>
        <v>eandriessenj9@europa.eu</v>
      </c>
      <c r="H695" s="2" t="str">
        <f>_xlfn.XLOOKUP(C695,customers!$A$1:$A$1001,customers!$G$1:$G$1001,,0)</f>
        <v>United States</v>
      </c>
      <c r="I695" t="str">
        <f>INDEX(products!$B$1:$B$49,MATCH($D695,products!$A$1:$A$49,0))</f>
        <v>Ara</v>
      </c>
      <c r="J695" t="str">
        <f>INDEX(products!$C$1:$C$49,MATCH($D695,products!$A$1:$A$49,0))</f>
        <v>M</v>
      </c>
      <c r="K695" s="4">
        <f>INDEX(products!$D$1:$D$49,MATCH($D695,products!$A$1:$A$49,0))</f>
        <v>2.5</v>
      </c>
      <c r="L695" s="5">
        <f>INDEX(products!$E$1:$E$49,MATCH($D695,products!$A$1:$A$49,0))</f>
        <v>25.874999999999996</v>
      </c>
      <c r="M695" s="5">
        <f t="shared" si="10"/>
        <v>51.749999999999993</v>
      </c>
      <c r="N695" t="str" cm="1">
        <f t="array" ref="N695">_xlfn.IFS(I695="Rob","Robusta",I695="Exc","Excelsa",I695="Ara","Arabica",I695="Lib","Liberica")</f>
        <v>Arabica</v>
      </c>
      <c r="O695" t="str" cm="1">
        <f t="array" ref="O695">_xlfn.SWITCH($J695,"M","Medium","L","Light","D","Dark")</f>
        <v>Medium</v>
      </c>
      <c r="P695" t="str">
        <f>_xlfn.XLOOKUP(Table1[[#This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IF(_xlfn.XLOOKUP(C696,customers!$A$1:$A$1001,customers!$C$1:$C$1001,,0)=0,"Not _Provided",_xlfn.XLOOKUP(C696,customers!$A$1:$A$1001,customers!$C$1:$C$1001,,0))</f>
        <v>rdeaconsonja@archive.org</v>
      </c>
      <c r="H696" s="2" t="str">
        <f>_xlfn.XLOOKUP(C696,customers!$A$1:$A$1001,customers!$G$1:$G$1001,,0)</f>
        <v>United States</v>
      </c>
      <c r="I696" t="str">
        <f>INDEX(products!$B$1:$B$49,MATCH($D696,products!$A$1:$A$49,0))</f>
        <v>Exc</v>
      </c>
      <c r="J696" t="str">
        <f>INDEX(products!$C$1:$C$49,MATCH($D696,products!$A$1:$A$49,0))</f>
        <v>D</v>
      </c>
      <c r="K696" s="4">
        <f>INDEX(products!$D$1:$D$49,MATCH($D696,products!$A$1:$A$49,0))</f>
        <v>0.5</v>
      </c>
      <c r="L696" s="5">
        <f>INDEX(products!$E$1:$E$49,MATCH($D696,products!$A$1:$A$49,0))</f>
        <v>7.29</v>
      </c>
      <c r="M696" s="5">
        <f t="shared" si="10"/>
        <v>36.450000000000003</v>
      </c>
      <c r="N696" t="str" cm="1">
        <f t="array" ref="N696">_xlfn.IFS(I696="Rob","Robusta",I696="Exc","Excelsa",I696="Ara","Arabica",I696="Lib","Liberica")</f>
        <v>Excelsa</v>
      </c>
      <c r="O696" t="str" cm="1">
        <f t="array" ref="O696">_xlfn.SWITCH($J696,"M","Medium","L","Light","D","Dark")</f>
        <v>Dark</v>
      </c>
      <c r="P696" t="str">
        <f>_xlfn.XLOOKUP(Table1[[#This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IF(_xlfn.XLOOKUP(C697,customers!$A$1:$A$1001,customers!$C$1:$C$1001,,0)=0,"Not _Provided",_xlfn.XLOOKUP(C697,customers!$A$1:$A$1001,customers!$C$1:$C$1001,,0))</f>
        <v>dcarojb@twitter.com</v>
      </c>
      <c r="H697" s="2" t="str">
        <f>_xlfn.XLOOKUP(C697,customers!$A$1:$A$1001,customers!$G$1:$G$1001,,0)</f>
        <v>United States</v>
      </c>
      <c r="I697" t="str">
        <f>INDEX(products!$B$1:$B$49,MATCH($D697,products!$A$1:$A$49,0))</f>
        <v>Lib</v>
      </c>
      <c r="J697" t="str">
        <f>INDEX(products!$C$1:$C$49,MATCH($D697,products!$A$1:$A$49,0))</f>
        <v>L</v>
      </c>
      <c r="K697" s="4">
        <f>INDEX(products!$D$1:$D$49,MATCH($D697,products!$A$1:$A$49,0))</f>
        <v>2.5</v>
      </c>
      <c r="L697" s="5">
        <f>INDEX(products!$E$1:$E$49,MATCH($D697,products!$A$1:$A$49,0))</f>
        <v>36.454999999999998</v>
      </c>
      <c r="M697" s="5">
        <f t="shared" si="10"/>
        <v>182.27499999999998</v>
      </c>
      <c r="N697" t="str" cm="1">
        <f t="array" ref="N697">_xlfn.IFS(I697="Rob","Robusta",I697="Exc","Excelsa",I697="Ara","Arabica",I697="Lib","Liberica")</f>
        <v>Liberica</v>
      </c>
      <c r="O697" t="str" cm="1">
        <f t="array" ref="O697">_xlfn.SWITCH($J697,"M","Medium","L","Light","D","Dark")</f>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IF(_xlfn.XLOOKUP(C698,customers!$A$1:$A$1001,customers!$C$1:$C$1001,,0)=0,"Not _Provided",_xlfn.XLOOKUP(C698,customers!$A$1:$A$1001,customers!$C$1:$C$1001,,0))</f>
        <v>jbluckjc@imageshack.us</v>
      </c>
      <c r="H698" s="2" t="str">
        <f>_xlfn.XLOOKUP(C698,customers!$A$1:$A$1001,customers!$G$1:$G$1001,,0)</f>
        <v>United States</v>
      </c>
      <c r="I698" t="str">
        <f>INDEX(products!$B$1:$B$49,MATCH($D698,products!$A$1:$A$49,0))</f>
        <v>Lib</v>
      </c>
      <c r="J698" t="str">
        <f>INDEX(products!$C$1:$C$49,MATCH($D698,products!$A$1:$A$49,0))</f>
        <v>D</v>
      </c>
      <c r="K698" s="4">
        <f>INDEX(products!$D$1:$D$49,MATCH($D698,products!$A$1:$A$49,0))</f>
        <v>0.5</v>
      </c>
      <c r="L698" s="5">
        <f>INDEX(products!$E$1:$E$49,MATCH($D698,products!$A$1:$A$49,0))</f>
        <v>7.77</v>
      </c>
      <c r="M698" s="5">
        <f t="shared" si="10"/>
        <v>31.08</v>
      </c>
      <c r="N698" t="str" cm="1">
        <f t="array" ref="N698">_xlfn.IFS(I698="Rob","Robusta",I698="Exc","Excelsa",I698="Ara","Arabica",I698="Lib","Liberica")</f>
        <v>Liberica</v>
      </c>
      <c r="O698" t="str" cm="1">
        <f t="array" ref="O698">_xlfn.SWITCH($J698,"M","Medium","L","Light","D","Dark")</f>
        <v>Dark</v>
      </c>
      <c r="P698" t="str">
        <f>_xlfn.XLOOKUP(Table1[[#This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IF(_xlfn.XLOOKUP(C699,customers!$A$1:$A$1001,customers!$C$1:$C$1001,,0)=0,"Not _Provided",_xlfn.XLOOKUP(C699,customers!$A$1:$A$1001,customers!$C$1:$C$1001,,0))</f>
        <v>Not _Provided</v>
      </c>
      <c r="H699" s="2" t="str">
        <f>_xlfn.XLOOKUP(C699,customers!$A$1:$A$1001,customers!$G$1:$G$1001,,0)</f>
        <v>Ireland</v>
      </c>
      <c r="I699" t="str">
        <f>INDEX(products!$B$1:$B$49,MATCH($D699,products!$A$1:$A$49,0))</f>
        <v>Ara</v>
      </c>
      <c r="J699" t="str">
        <f>INDEX(products!$C$1:$C$49,MATCH($D699,products!$A$1:$A$49,0))</f>
        <v>M</v>
      </c>
      <c r="K699" s="4">
        <f>INDEX(products!$D$1:$D$49,MATCH($D699,products!$A$1:$A$49,0))</f>
        <v>0.5</v>
      </c>
      <c r="L699" s="5">
        <f>INDEX(products!$E$1:$E$49,MATCH($D699,products!$A$1:$A$49,0))</f>
        <v>6.75</v>
      </c>
      <c r="M699" s="5">
        <f t="shared" si="10"/>
        <v>20.25</v>
      </c>
      <c r="N699" t="str" cm="1">
        <f t="array" ref="N699">_xlfn.IFS(I699="Rob","Robusta",I699="Exc","Excelsa",I699="Ara","Arabica",I699="Lib","Liberica")</f>
        <v>Arabica</v>
      </c>
      <c r="O699" t="str" cm="1">
        <f t="array" ref="O699">_xlfn.SWITCH($J699,"M","Medium","L","Light","D","Dark")</f>
        <v>Medium</v>
      </c>
      <c r="P699" t="str">
        <f>_xlfn.XLOOKUP(Table1[[#This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IF(_xlfn.XLOOKUP(C700,customers!$A$1:$A$1001,customers!$C$1:$C$1001,,0)=0,"Not _Provided",_xlfn.XLOOKUP(C700,customers!$A$1:$A$1001,customers!$C$1:$C$1001,,0))</f>
        <v>jdymokeje@prnewswire.com</v>
      </c>
      <c r="H700" s="2" t="str">
        <f>_xlfn.XLOOKUP(C700,customers!$A$1:$A$1001,customers!$G$1:$G$1001,,0)</f>
        <v>Ireland</v>
      </c>
      <c r="I700" t="str">
        <f>INDEX(products!$B$1:$B$49,MATCH($D700,products!$A$1:$A$49,0))</f>
        <v>Lib</v>
      </c>
      <c r="J700" t="str">
        <f>INDEX(products!$C$1:$C$49,MATCH($D700,products!$A$1:$A$49,0))</f>
        <v>D</v>
      </c>
      <c r="K700" s="4">
        <f>INDEX(products!$D$1:$D$49,MATCH($D700,products!$A$1:$A$49,0))</f>
        <v>1</v>
      </c>
      <c r="L700" s="5">
        <f>INDEX(products!$E$1:$E$49,MATCH($D700,products!$A$1:$A$49,0))</f>
        <v>12.95</v>
      </c>
      <c r="M700" s="5">
        <f t="shared" si="10"/>
        <v>25.9</v>
      </c>
      <c r="N700" t="str" cm="1">
        <f t="array" ref="N700">_xlfn.IFS(I700="Rob","Robusta",I700="Exc","Excelsa",I700="Ara","Arabica",I700="Lib","Liberica")</f>
        <v>Liberica</v>
      </c>
      <c r="O700" t="str" cm="1">
        <f t="array" ref="O700">_xlfn.SWITCH($J700,"M","Medium","L","Light","D","Dark")</f>
        <v>Dark</v>
      </c>
      <c r="P700" t="str">
        <f>_xlfn.XLOOKUP(Table1[[#This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IF(_xlfn.XLOOKUP(C701,customers!$A$1:$A$1001,customers!$C$1:$C$1001,,0)=0,"Not _Provided",_xlfn.XLOOKUP(C701,customers!$A$1:$A$1001,customers!$C$1:$C$1001,,0))</f>
        <v>otadmanjf@ft.com</v>
      </c>
      <c r="H701" s="2" t="str">
        <f>_xlfn.XLOOKUP(C701,customers!$A$1:$A$1001,customers!$G$1:$G$1001,,0)</f>
        <v>United States</v>
      </c>
      <c r="I701" t="str">
        <f>INDEX(products!$B$1:$B$49,MATCH($D701,products!$A$1:$A$49,0))</f>
        <v>Ara</v>
      </c>
      <c r="J701" t="str">
        <f>INDEX(products!$C$1:$C$49,MATCH($D701,products!$A$1:$A$49,0))</f>
        <v>D</v>
      </c>
      <c r="K701" s="4">
        <f>INDEX(products!$D$1:$D$49,MATCH($D701,products!$A$1:$A$49,0))</f>
        <v>0.5</v>
      </c>
      <c r="L701" s="5">
        <f>INDEX(products!$E$1:$E$49,MATCH($D701,products!$A$1:$A$49,0))</f>
        <v>5.97</v>
      </c>
      <c r="M701" s="5">
        <f t="shared" si="10"/>
        <v>23.88</v>
      </c>
      <c r="N701" t="str" cm="1">
        <f t="array" ref="N701">_xlfn.IFS(I701="Rob","Robusta",I701="Exc","Excelsa",I701="Ara","Arabica",I701="Lib","Liberica")</f>
        <v>Arabica</v>
      </c>
      <c r="O701" t="str" cm="1">
        <f t="array" ref="O701">_xlfn.SWITCH($J701,"M","Medium","L","Light","D","Dark")</f>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IF(_xlfn.XLOOKUP(C702,customers!$A$1:$A$1001,customers!$C$1:$C$1001,,0)=0,"Not _Provided",_xlfn.XLOOKUP(C702,customers!$A$1:$A$1001,customers!$C$1:$C$1001,,0))</f>
        <v>bguddejg@dailymotion.com</v>
      </c>
      <c r="H702" s="2" t="str">
        <f>_xlfn.XLOOKUP(C702,customers!$A$1:$A$1001,customers!$G$1:$G$1001,,0)</f>
        <v>United States</v>
      </c>
      <c r="I702" t="str">
        <f>INDEX(products!$B$1:$B$49,MATCH($D702,products!$A$1:$A$49,0))</f>
        <v>Lib</v>
      </c>
      <c r="J702" t="str">
        <f>INDEX(products!$C$1:$C$49,MATCH($D702,products!$A$1:$A$49,0))</f>
        <v>L</v>
      </c>
      <c r="K702" s="4">
        <f>INDEX(products!$D$1:$D$49,MATCH($D702,products!$A$1:$A$49,0))</f>
        <v>0.5</v>
      </c>
      <c r="L702" s="5">
        <f>INDEX(products!$E$1:$E$49,MATCH($D702,products!$A$1:$A$49,0))</f>
        <v>9.51</v>
      </c>
      <c r="M702" s="5">
        <f t="shared" si="10"/>
        <v>19.02</v>
      </c>
      <c r="N702" t="str" cm="1">
        <f t="array" ref="N702">_xlfn.IFS(I702="Rob","Robusta",I702="Exc","Excelsa",I702="Ara","Arabica",I702="Lib","Liberica")</f>
        <v>Liberica</v>
      </c>
      <c r="O702" t="str" cm="1">
        <f t="array" ref="O702">_xlfn.SWITCH($J702,"M","Medium","L","Light","D","Dark")</f>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IF(_xlfn.XLOOKUP(C703,customers!$A$1:$A$1001,customers!$C$1:$C$1001,,0)=0,"Not _Provided",_xlfn.XLOOKUP(C703,customers!$A$1:$A$1001,customers!$C$1:$C$1001,,0))</f>
        <v>nsictornesjh@buzzfeed.com</v>
      </c>
      <c r="H703" s="2" t="str">
        <f>_xlfn.XLOOKUP(C703,customers!$A$1:$A$1001,customers!$G$1:$G$1001,,0)</f>
        <v>Ireland</v>
      </c>
      <c r="I703" t="str">
        <f>INDEX(products!$B$1:$B$49,MATCH($D703,products!$A$1:$A$49,0))</f>
        <v>Ara</v>
      </c>
      <c r="J703" t="str">
        <f>INDEX(products!$C$1:$C$49,MATCH($D703,products!$A$1:$A$49,0))</f>
        <v>D</v>
      </c>
      <c r="K703" s="4">
        <f>INDEX(products!$D$1:$D$49,MATCH($D703,products!$A$1:$A$49,0))</f>
        <v>0.5</v>
      </c>
      <c r="L703" s="5">
        <f>INDEX(products!$E$1:$E$49,MATCH($D703,products!$A$1:$A$49,0))</f>
        <v>5.97</v>
      </c>
      <c r="M703" s="5">
        <f t="shared" si="10"/>
        <v>29.849999999999998</v>
      </c>
      <c r="N703" t="str" cm="1">
        <f t="array" ref="N703">_xlfn.IFS(I703="Rob","Robusta",I703="Exc","Excelsa",I703="Ara","Arabica",I703="Lib","Liberica")</f>
        <v>Arabica</v>
      </c>
      <c r="O703" t="str" cm="1">
        <f t="array" ref="O703">_xlfn.SWITCH($J703,"M","Medium","L","Light","D","Dark")</f>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IF(_xlfn.XLOOKUP(C704,customers!$A$1:$A$1001,customers!$C$1:$C$1001,,0)=0,"Not _Provided",_xlfn.XLOOKUP(C704,customers!$A$1:$A$1001,customers!$C$1:$C$1001,,0))</f>
        <v>vdunningji@independent.co.uk</v>
      </c>
      <c r="H704" s="2" t="str">
        <f>_xlfn.XLOOKUP(C704,customers!$A$1:$A$1001,customers!$G$1:$G$1001,,0)</f>
        <v>United States</v>
      </c>
      <c r="I704" t="str">
        <f>INDEX(products!$B$1:$B$49,MATCH($D704,products!$A$1:$A$49,0))</f>
        <v>Ara</v>
      </c>
      <c r="J704" t="str">
        <f>INDEX(products!$C$1:$C$49,MATCH($D704,products!$A$1:$A$49,0))</f>
        <v>L</v>
      </c>
      <c r="K704" s="4">
        <f>INDEX(products!$D$1:$D$49,MATCH($D704,products!$A$1:$A$49,0))</f>
        <v>0.5</v>
      </c>
      <c r="L704" s="5">
        <f>INDEX(products!$E$1:$E$49,MATCH($D704,products!$A$1:$A$49,0))</f>
        <v>7.77</v>
      </c>
      <c r="M704" s="5">
        <f t="shared" si="10"/>
        <v>7.77</v>
      </c>
      <c r="N704" t="str" cm="1">
        <f t="array" ref="N704">_xlfn.IFS(I704="Rob","Robusta",I704="Exc","Excelsa",I704="Ara","Arabica",I704="Lib","Liberica")</f>
        <v>Arabica</v>
      </c>
      <c r="O704" t="str" cm="1">
        <f t="array" ref="O704">_xlfn.SWITCH($J704,"M","Medium","L","Light","D","Dark")</f>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IF(_xlfn.XLOOKUP(C705,customers!$A$1:$A$1001,customers!$C$1:$C$1001,,0)=0,"Not _Provided",_xlfn.XLOOKUP(C705,customers!$A$1:$A$1001,customers!$C$1:$C$1001,,0))</f>
        <v>Not _Provided</v>
      </c>
      <c r="H705" s="2" t="str">
        <f>_xlfn.XLOOKUP(C705,customers!$A$1:$A$1001,customers!$G$1:$G$1001,,0)</f>
        <v>Ireland</v>
      </c>
      <c r="I705" t="str">
        <f>INDEX(products!$B$1:$B$49,MATCH($D705,products!$A$1:$A$49,0))</f>
        <v>Lib</v>
      </c>
      <c r="J705" t="str">
        <f>INDEX(products!$C$1:$C$49,MATCH($D705,products!$A$1:$A$49,0))</f>
        <v>D</v>
      </c>
      <c r="K705" s="4">
        <f>INDEX(products!$D$1:$D$49,MATCH($D705,products!$A$1:$A$49,0))</f>
        <v>2.5</v>
      </c>
      <c r="L705" s="5">
        <f>INDEX(products!$E$1:$E$49,MATCH($D705,products!$A$1:$A$49,0))</f>
        <v>29.784999999999997</v>
      </c>
      <c r="M705" s="5">
        <f t="shared" si="10"/>
        <v>119.13999999999999</v>
      </c>
      <c r="N705" t="str" cm="1">
        <f t="array" ref="N705">_xlfn.IFS(I705="Rob","Robusta",I705="Exc","Excelsa",I705="Ara","Arabica",I705="Lib","Liberica")</f>
        <v>Liberica</v>
      </c>
      <c r="O705" t="str" cm="1">
        <f t="array" ref="O705">_xlfn.SWITCH($J705,"M","Medium","L","Light","D","Dark")</f>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IF(_xlfn.XLOOKUP(C706,customers!$A$1:$A$1001,customers!$C$1:$C$1001,,0)=0,"Not _Provided",_xlfn.XLOOKUP(C706,customers!$A$1:$A$1001,customers!$C$1:$C$1001,,0))</f>
        <v>Not _Provided</v>
      </c>
      <c r="H706" s="2" t="str">
        <f>_xlfn.XLOOKUP(C706,customers!$A$1:$A$1001,customers!$G$1:$G$1001,,0)</f>
        <v>United States</v>
      </c>
      <c r="I706" t="str">
        <f>INDEX(products!$B$1:$B$49,MATCH($D706,products!$A$1:$A$49,0))</f>
        <v>Exc</v>
      </c>
      <c r="J706" t="str">
        <f>INDEX(products!$C$1:$C$49,MATCH($D706,products!$A$1:$A$49,0))</f>
        <v>D</v>
      </c>
      <c r="K706" s="4">
        <f>INDEX(products!$D$1:$D$49,MATCH($D706,products!$A$1:$A$49,0))</f>
        <v>0.2</v>
      </c>
      <c r="L706" s="5">
        <f>INDEX(products!$E$1:$E$49,MATCH($D706,products!$A$1:$A$49,0))</f>
        <v>3.645</v>
      </c>
      <c r="M706" s="5">
        <f t="shared" si="10"/>
        <v>21.87</v>
      </c>
      <c r="N706" t="str" cm="1">
        <f t="array" ref="N706">_xlfn.IFS(I706="Rob","Robusta",I706="Exc","Excelsa",I706="Ara","Arabica",I706="Lib","Liberica")</f>
        <v>Excelsa</v>
      </c>
      <c r="O706" t="str" cm="1">
        <f t="array" ref="O706">_xlfn.SWITCH($J706,"M","Medium","L","Light","D","Dark")</f>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IF(_xlfn.XLOOKUP(C707,customers!$A$1:$A$1001,customers!$C$1:$C$1001,,0)=0,"Not _Provided",_xlfn.XLOOKUP(C707,customers!$A$1:$A$1001,customers!$C$1:$C$1001,,0))</f>
        <v>sgehringjl@gnu.org</v>
      </c>
      <c r="H707" s="2" t="str">
        <f>_xlfn.XLOOKUP(C707,customers!$A$1:$A$1001,customers!$G$1:$G$1001,,0)</f>
        <v>United States</v>
      </c>
      <c r="I707" t="str">
        <f>INDEX(products!$B$1:$B$49,MATCH($D707,products!$A$1:$A$49,0))</f>
        <v>Exc</v>
      </c>
      <c r="J707" t="str">
        <f>INDEX(products!$C$1:$C$49,MATCH($D707,products!$A$1:$A$49,0))</f>
        <v>L</v>
      </c>
      <c r="K707" s="4">
        <f>INDEX(products!$D$1:$D$49,MATCH($D707,products!$A$1:$A$49,0))</f>
        <v>0.5</v>
      </c>
      <c r="L707" s="5">
        <f>INDEX(products!$E$1:$E$49,MATCH($D707,products!$A$1:$A$49,0))</f>
        <v>8.91</v>
      </c>
      <c r="M707" s="5">
        <f t="shared" ref="M707:M770" si="11">E707*L707</f>
        <v>17.82</v>
      </c>
      <c r="N707" t="str" cm="1">
        <f t="array" ref="N707">_xlfn.IFS(I707="Rob","Robusta",I707="Exc","Excelsa",I707="Ara","Arabica",I707="Lib","Liberica")</f>
        <v>Excelsa</v>
      </c>
      <c r="O707" t="str" cm="1">
        <f t="array" ref="O707">_xlfn.SWITCH($J707,"M","Medium","L","Light","D","Dark")</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IF(_xlfn.XLOOKUP(C708,customers!$A$1:$A$1001,customers!$C$1:$C$1001,,0)=0,"Not _Provided",_xlfn.XLOOKUP(C708,customers!$A$1:$A$1001,customers!$C$1:$C$1001,,0))</f>
        <v>bfallowesjm@purevolume.com</v>
      </c>
      <c r="H708" s="2" t="str">
        <f>_xlfn.XLOOKUP(C708,customers!$A$1:$A$1001,customers!$G$1:$G$1001,,0)</f>
        <v>United States</v>
      </c>
      <c r="I708" t="str">
        <f>INDEX(products!$B$1:$B$49,MATCH($D708,products!$A$1:$A$49,0))</f>
        <v>Exc</v>
      </c>
      <c r="J708" t="str">
        <f>INDEX(products!$C$1:$C$49,MATCH($D708,products!$A$1:$A$49,0))</f>
        <v>M</v>
      </c>
      <c r="K708" s="4">
        <f>INDEX(products!$D$1:$D$49,MATCH($D708,products!$A$1:$A$49,0))</f>
        <v>0.2</v>
      </c>
      <c r="L708" s="5">
        <f>INDEX(products!$E$1:$E$49,MATCH($D708,products!$A$1:$A$49,0))</f>
        <v>4.125</v>
      </c>
      <c r="M708" s="5">
        <f t="shared" si="11"/>
        <v>12.375</v>
      </c>
      <c r="N708" t="str" cm="1">
        <f t="array" ref="N708">_xlfn.IFS(I708="Rob","Robusta",I708="Exc","Excelsa",I708="Ara","Arabica",I708="Lib","Liberica")</f>
        <v>Excelsa</v>
      </c>
      <c r="O708" t="str" cm="1">
        <f t="array" ref="O708">_xlfn.SWITCH($J708,"M","Medium","L","Light","D","Dark")</f>
        <v>Medium</v>
      </c>
      <c r="P708" t="str">
        <f>_xlfn.XLOOKUP(Table1[[#This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IF(_xlfn.XLOOKUP(C709,customers!$A$1:$A$1001,customers!$C$1:$C$1001,,0)=0,"Not _Provided",_xlfn.XLOOKUP(C709,customers!$A$1:$A$1001,customers!$C$1:$C$1001,,0))</f>
        <v>Not _Provided</v>
      </c>
      <c r="H709" s="2" t="str">
        <f>_xlfn.XLOOKUP(C709,customers!$A$1:$A$1001,customers!$G$1:$G$1001,,0)</f>
        <v>Ireland</v>
      </c>
      <c r="I709" t="str">
        <f>INDEX(products!$B$1:$B$49,MATCH($D709,products!$A$1:$A$49,0))</f>
        <v>Lib</v>
      </c>
      <c r="J709" t="str">
        <f>INDEX(products!$C$1:$C$49,MATCH($D709,products!$A$1:$A$49,0))</f>
        <v>D</v>
      </c>
      <c r="K709" s="4">
        <f>INDEX(products!$D$1:$D$49,MATCH($D709,products!$A$1:$A$49,0))</f>
        <v>1</v>
      </c>
      <c r="L709" s="5">
        <f>INDEX(products!$E$1:$E$49,MATCH($D709,products!$A$1:$A$49,0))</f>
        <v>12.95</v>
      </c>
      <c r="M709" s="5">
        <f t="shared" si="11"/>
        <v>25.9</v>
      </c>
      <c r="N709" t="str" cm="1">
        <f t="array" ref="N709">_xlfn.IFS(I709="Rob","Robusta",I709="Exc","Excelsa",I709="Ara","Arabica",I709="Lib","Liberica")</f>
        <v>Liberica</v>
      </c>
      <c r="O709" t="str" cm="1">
        <f t="array" ref="O709">_xlfn.SWITCH($J709,"M","Medium","L","Light","D","Dark")</f>
        <v>Dark</v>
      </c>
      <c r="P709" t="str">
        <f>_xlfn.XLOOKUP(Table1[[#This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IF(_xlfn.XLOOKUP(C710,customers!$A$1:$A$1001,customers!$C$1:$C$1001,,0)=0,"Not _Provided",_xlfn.XLOOKUP(C710,customers!$A$1:$A$1001,customers!$C$1:$C$1001,,0))</f>
        <v>sdejo@newsvine.com</v>
      </c>
      <c r="H710" s="2" t="str">
        <f>_xlfn.XLOOKUP(C710,customers!$A$1:$A$1001,customers!$G$1:$G$1001,,0)</f>
        <v>United States</v>
      </c>
      <c r="I710" t="str">
        <f>INDEX(products!$B$1:$B$49,MATCH($D710,products!$A$1:$A$49,0))</f>
        <v>Ara</v>
      </c>
      <c r="J710" t="str">
        <f>INDEX(products!$C$1:$C$49,MATCH($D710,products!$A$1:$A$49,0))</f>
        <v>M</v>
      </c>
      <c r="K710" s="4">
        <f>INDEX(products!$D$1:$D$49,MATCH($D710,products!$A$1:$A$49,0))</f>
        <v>0.5</v>
      </c>
      <c r="L710" s="5">
        <f>INDEX(products!$E$1:$E$49,MATCH($D710,products!$A$1:$A$49,0))</f>
        <v>6.75</v>
      </c>
      <c r="M710" s="5">
        <f t="shared" si="11"/>
        <v>13.5</v>
      </c>
      <c r="N710" t="str" cm="1">
        <f t="array" ref="N710">_xlfn.IFS(I710="Rob","Robusta",I710="Exc","Excelsa",I710="Ara","Arabica",I710="Lib","Liberica")</f>
        <v>Arabica</v>
      </c>
      <c r="O710" t="str" cm="1">
        <f t="array" ref="O710">_xlfn.SWITCH($J710,"M","Medium","L","Light","D","Dark")</f>
        <v>Medium</v>
      </c>
      <c r="P710" t="str">
        <f>_xlfn.XLOOKUP(Table1[[#This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IF(_xlfn.XLOOKUP(C711,customers!$A$1:$A$1001,customers!$C$1:$C$1001,,0)=0,"Not _Provided",_xlfn.XLOOKUP(C711,customers!$A$1:$A$1001,customers!$C$1:$C$1001,,0))</f>
        <v>Not _Provided</v>
      </c>
      <c r="H711" s="2" t="str">
        <f>_xlfn.XLOOKUP(C711,customers!$A$1:$A$1001,customers!$G$1:$G$1001,,0)</f>
        <v>United States</v>
      </c>
      <c r="I711" t="str">
        <f>INDEX(products!$B$1:$B$49,MATCH($D711,products!$A$1:$A$49,0))</f>
        <v>Exc</v>
      </c>
      <c r="J711" t="str">
        <f>INDEX(products!$C$1:$C$49,MATCH($D711,products!$A$1:$A$49,0))</f>
        <v>L</v>
      </c>
      <c r="K711" s="4">
        <f>INDEX(products!$D$1:$D$49,MATCH($D711,products!$A$1:$A$49,0))</f>
        <v>0.5</v>
      </c>
      <c r="L711" s="5">
        <f>INDEX(products!$E$1:$E$49,MATCH($D711,products!$A$1:$A$49,0))</f>
        <v>8.91</v>
      </c>
      <c r="M711" s="5">
        <f t="shared" si="11"/>
        <v>17.82</v>
      </c>
      <c r="N711" t="str" cm="1">
        <f t="array" ref="N711">_xlfn.IFS(I711="Rob","Robusta",I711="Exc","Excelsa",I711="Ara","Arabica",I711="Lib","Liberica")</f>
        <v>Excelsa</v>
      </c>
      <c r="O711" t="str" cm="1">
        <f t="array" ref="O711">_xlfn.SWITCH($J711,"M","Medium","L","Light","D","Dark")</f>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IF(_xlfn.XLOOKUP(C712,customers!$A$1:$A$1001,customers!$C$1:$C$1001,,0)=0,"Not _Provided",_xlfn.XLOOKUP(C712,customers!$A$1:$A$1001,customers!$C$1:$C$1001,,0))</f>
        <v>scountjq@nba.com</v>
      </c>
      <c r="H712" s="2" t="str">
        <f>_xlfn.XLOOKUP(C712,customers!$A$1:$A$1001,customers!$G$1:$G$1001,,0)</f>
        <v>United States</v>
      </c>
      <c r="I712" t="str">
        <f>INDEX(products!$B$1:$B$49,MATCH($D712,products!$A$1:$A$49,0))</f>
        <v>Exc</v>
      </c>
      <c r="J712" t="str">
        <f>INDEX(products!$C$1:$C$49,MATCH($D712,products!$A$1:$A$49,0))</f>
        <v>M</v>
      </c>
      <c r="K712" s="4">
        <f>INDEX(products!$D$1:$D$49,MATCH($D712,products!$A$1:$A$49,0))</f>
        <v>0.5</v>
      </c>
      <c r="L712" s="5">
        <f>INDEX(products!$E$1:$E$49,MATCH($D712,products!$A$1:$A$49,0))</f>
        <v>8.25</v>
      </c>
      <c r="M712" s="5">
        <f t="shared" si="11"/>
        <v>24.75</v>
      </c>
      <c r="N712" t="str" cm="1">
        <f t="array" ref="N712">_xlfn.IFS(I712="Rob","Robusta",I712="Exc","Excelsa",I712="Ara","Arabica",I712="Lib","Liberica")</f>
        <v>Excelsa</v>
      </c>
      <c r="O712" t="str" cm="1">
        <f t="array" ref="O712">_xlfn.SWITCH($J712,"M","Medium","L","Light","D","Dark")</f>
        <v>Medium</v>
      </c>
      <c r="P712" t="str">
        <f>_xlfn.XLOOKUP(Table1[[#This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IF(_xlfn.XLOOKUP(C713,customers!$A$1:$A$1001,customers!$C$1:$C$1001,,0)=0,"Not _Provided",_xlfn.XLOOKUP(C713,customers!$A$1:$A$1001,customers!$C$1:$C$1001,,0))</f>
        <v>sraglesjr@blogtalkradio.com</v>
      </c>
      <c r="H713" s="2" t="str">
        <f>_xlfn.XLOOKUP(C713,customers!$A$1:$A$1001,customers!$G$1:$G$1001,,0)</f>
        <v>United States</v>
      </c>
      <c r="I713" t="str">
        <f>INDEX(products!$B$1:$B$49,MATCH($D713,products!$A$1:$A$49,0))</f>
        <v>Rob</v>
      </c>
      <c r="J713" t="str">
        <f>INDEX(products!$C$1:$C$49,MATCH($D713,products!$A$1:$A$49,0))</f>
        <v>M</v>
      </c>
      <c r="K713" s="4">
        <f>INDEX(products!$D$1:$D$49,MATCH($D713,products!$A$1:$A$49,0))</f>
        <v>0.2</v>
      </c>
      <c r="L713" s="5">
        <f>INDEX(products!$E$1:$E$49,MATCH($D713,products!$A$1:$A$49,0))</f>
        <v>2.9849999999999999</v>
      </c>
      <c r="M713" s="5">
        <f t="shared" si="11"/>
        <v>17.91</v>
      </c>
      <c r="N713" t="str" cm="1">
        <f t="array" ref="N713">_xlfn.IFS(I713="Rob","Robusta",I713="Exc","Excelsa",I713="Ara","Arabica",I713="Lib","Liberica")</f>
        <v>Robusta</v>
      </c>
      <c r="O713" t="str" cm="1">
        <f t="array" ref="O713">_xlfn.SWITCH($J713,"M","Medium","L","Light","D","Dark")</f>
        <v>Medium</v>
      </c>
      <c r="P713" t="str">
        <f>_xlfn.XLOOKUP(Table1[[#This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IF(_xlfn.XLOOKUP(C714,customers!$A$1:$A$1001,customers!$C$1:$C$1001,,0)=0,"Not _Provided",_xlfn.XLOOKUP(C714,customers!$A$1:$A$1001,customers!$C$1:$C$1001,,0))</f>
        <v>Not _Provided</v>
      </c>
      <c r="H714" s="2" t="str">
        <f>_xlfn.XLOOKUP(C714,customers!$A$1:$A$1001,customers!$G$1:$G$1001,,0)</f>
        <v>United Kingdom</v>
      </c>
      <c r="I714" t="str">
        <f>INDEX(products!$B$1:$B$49,MATCH($D714,products!$A$1:$A$49,0))</f>
        <v>Exc</v>
      </c>
      <c r="J714" t="str">
        <f>INDEX(products!$C$1:$C$49,MATCH($D714,products!$A$1:$A$49,0))</f>
        <v>M</v>
      </c>
      <c r="K714" s="4">
        <f>INDEX(products!$D$1:$D$49,MATCH($D714,products!$A$1:$A$49,0))</f>
        <v>0.5</v>
      </c>
      <c r="L714" s="5">
        <f>INDEX(products!$E$1:$E$49,MATCH($D714,products!$A$1:$A$49,0))</f>
        <v>8.25</v>
      </c>
      <c r="M714" s="5">
        <f t="shared" si="11"/>
        <v>16.5</v>
      </c>
      <c r="N714" t="str" cm="1">
        <f t="array" ref="N714">_xlfn.IFS(I714="Rob","Robusta",I714="Exc","Excelsa",I714="Ara","Arabica",I714="Lib","Liberica")</f>
        <v>Excelsa</v>
      </c>
      <c r="O714" t="str" cm="1">
        <f t="array" ref="O714">_xlfn.SWITCH($J714,"M","Medium","L","Light","D","Dark")</f>
        <v>Medium</v>
      </c>
      <c r="P714" t="str">
        <f>_xlfn.XLOOKUP(Table1[[#This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IF(_xlfn.XLOOKUP(C715,customers!$A$1:$A$1001,customers!$C$1:$C$1001,,0)=0,"Not _Provided",_xlfn.XLOOKUP(C715,customers!$A$1:$A$1001,customers!$C$1:$C$1001,,0))</f>
        <v>sbruunjt@blogtalkradio.com</v>
      </c>
      <c r="H715" s="2" t="str">
        <f>_xlfn.XLOOKUP(C715,customers!$A$1:$A$1001,customers!$G$1:$G$1001,,0)</f>
        <v>United States</v>
      </c>
      <c r="I715" t="str">
        <f>INDEX(products!$B$1:$B$49,MATCH($D715,products!$A$1:$A$49,0))</f>
        <v>Rob</v>
      </c>
      <c r="J715" t="str">
        <f>INDEX(products!$C$1:$C$49,MATCH($D715,products!$A$1:$A$49,0))</f>
        <v>M</v>
      </c>
      <c r="K715" s="4">
        <f>INDEX(products!$D$1:$D$49,MATCH($D715,products!$A$1:$A$49,0))</f>
        <v>0.2</v>
      </c>
      <c r="L715" s="5">
        <f>INDEX(products!$E$1:$E$49,MATCH($D715,products!$A$1:$A$49,0))</f>
        <v>2.9849999999999999</v>
      </c>
      <c r="M715" s="5">
        <f t="shared" si="11"/>
        <v>2.9849999999999999</v>
      </c>
      <c r="N715" t="str" cm="1">
        <f t="array" ref="N715">_xlfn.IFS(I715="Rob","Robusta",I715="Exc","Excelsa",I715="Ara","Arabica",I715="Lib","Liberica")</f>
        <v>Robusta</v>
      </c>
      <c r="O715" t="str" cm="1">
        <f t="array" ref="O715">_xlfn.SWITCH($J715,"M","Medium","L","Light","D","Dark")</f>
        <v>Medium</v>
      </c>
      <c r="P715" t="str">
        <f>_xlfn.XLOOKUP(Table1[[#This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IF(_xlfn.XLOOKUP(C716,customers!$A$1:$A$1001,customers!$C$1:$C$1001,,0)=0,"Not _Provided",_xlfn.XLOOKUP(C716,customers!$A$1:$A$1001,customers!$C$1:$C$1001,,0))</f>
        <v>aplluju@dagondesign.com</v>
      </c>
      <c r="H716" s="2" t="str">
        <f>_xlfn.XLOOKUP(C716,customers!$A$1:$A$1001,customers!$G$1:$G$1001,,0)</f>
        <v>Ireland</v>
      </c>
      <c r="I716" t="str">
        <f>INDEX(products!$B$1:$B$49,MATCH($D716,products!$A$1:$A$49,0))</f>
        <v>Exc</v>
      </c>
      <c r="J716" t="str">
        <f>INDEX(products!$C$1:$C$49,MATCH($D716,products!$A$1:$A$49,0))</f>
        <v>D</v>
      </c>
      <c r="K716" s="4">
        <f>INDEX(products!$D$1:$D$49,MATCH($D716,products!$A$1:$A$49,0))</f>
        <v>0.2</v>
      </c>
      <c r="L716" s="5">
        <f>INDEX(products!$E$1:$E$49,MATCH($D716,products!$A$1:$A$49,0))</f>
        <v>3.645</v>
      </c>
      <c r="M716" s="5">
        <f t="shared" si="11"/>
        <v>14.58</v>
      </c>
      <c r="N716" t="str" cm="1">
        <f t="array" ref="N716">_xlfn.IFS(I716="Rob","Robusta",I716="Exc","Excelsa",I716="Ara","Arabica",I716="Lib","Liberica")</f>
        <v>Excelsa</v>
      </c>
      <c r="O716" t="str" cm="1">
        <f t="array" ref="O716">_xlfn.SWITCH($J716,"M","Medium","L","Light","D","Dark")</f>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IF(_xlfn.XLOOKUP(C717,customers!$A$1:$A$1001,customers!$C$1:$C$1001,,0)=0,"Not _Provided",_xlfn.XLOOKUP(C717,customers!$A$1:$A$1001,customers!$C$1:$C$1001,,0))</f>
        <v>gcornierjv@techcrunch.com</v>
      </c>
      <c r="H717" s="2" t="str">
        <f>_xlfn.XLOOKUP(C717,customers!$A$1:$A$1001,customers!$G$1:$G$1001,,0)</f>
        <v>United States</v>
      </c>
      <c r="I717" t="str">
        <f>INDEX(products!$B$1:$B$49,MATCH($D717,products!$A$1:$A$49,0))</f>
        <v>Exc</v>
      </c>
      <c r="J717" t="str">
        <f>INDEX(products!$C$1:$C$49,MATCH($D717,products!$A$1:$A$49,0))</f>
        <v>L</v>
      </c>
      <c r="K717" s="4">
        <f>INDEX(products!$D$1:$D$49,MATCH($D717,products!$A$1:$A$49,0))</f>
        <v>1</v>
      </c>
      <c r="L717" s="5">
        <f>INDEX(products!$E$1:$E$49,MATCH($D717,products!$A$1:$A$49,0))</f>
        <v>14.85</v>
      </c>
      <c r="M717" s="5">
        <f t="shared" si="11"/>
        <v>89.1</v>
      </c>
      <c r="N717" t="str" cm="1">
        <f t="array" ref="N717">_xlfn.IFS(I717="Rob","Robusta",I717="Exc","Excelsa",I717="Ara","Arabica",I717="Lib","Liberica")</f>
        <v>Excelsa</v>
      </c>
      <c r="O717" t="str" cm="1">
        <f t="array" ref="O717">_xlfn.SWITCH($J717,"M","Medium","L","Light","D","Dark")</f>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IF(_xlfn.XLOOKUP(C718,customers!$A$1:$A$1001,customers!$C$1:$C$1001,,0)=0,"Not _Provided",_xlfn.XLOOKUP(C718,customers!$A$1:$A$1001,customers!$C$1:$C$1001,,0))</f>
        <v>jdymokeje@prnewswire.com</v>
      </c>
      <c r="H718" s="2" t="str">
        <f>_xlfn.XLOOKUP(C718,customers!$A$1:$A$1001,customers!$G$1:$G$1001,,0)</f>
        <v>Ireland</v>
      </c>
      <c r="I718" t="str">
        <f>INDEX(products!$B$1:$B$49,MATCH($D718,products!$A$1:$A$49,0))</f>
        <v>Rob</v>
      </c>
      <c r="J718" t="str">
        <f>INDEX(products!$C$1:$C$49,MATCH($D718,products!$A$1:$A$49,0))</f>
        <v>L</v>
      </c>
      <c r="K718" s="4">
        <f>INDEX(products!$D$1:$D$49,MATCH($D718,products!$A$1:$A$49,0))</f>
        <v>1</v>
      </c>
      <c r="L718" s="5">
        <f>INDEX(products!$E$1:$E$49,MATCH($D718,products!$A$1:$A$49,0))</f>
        <v>11.95</v>
      </c>
      <c r="M718" s="5">
        <f t="shared" si="11"/>
        <v>35.849999999999994</v>
      </c>
      <c r="N718" t="str" cm="1">
        <f t="array" ref="N718">_xlfn.IFS(I718="Rob","Robusta",I718="Exc","Excelsa",I718="Ara","Arabica",I718="Lib","Liberica")</f>
        <v>Robusta</v>
      </c>
      <c r="O718" t="str" cm="1">
        <f t="array" ref="O718">_xlfn.SWITCH($J718,"M","Medium","L","Light","D","Dark")</f>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IF(_xlfn.XLOOKUP(C719,customers!$A$1:$A$1001,customers!$C$1:$C$1001,,0)=0,"Not _Provided",_xlfn.XLOOKUP(C719,customers!$A$1:$A$1001,customers!$C$1:$C$1001,,0))</f>
        <v>wharvisonjx@gizmodo.com</v>
      </c>
      <c r="H719" s="2" t="str">
        <f>_xlfn.XLOOKUP(C719,customers!$A$1:$A$1001,customers!$G$1:$G$1001,,0)</f>
        <v>United States</v>
      </c>
      <c r="I719" t="str">
        <f>INDEX(products!$B$1:$B$49,MATCH($D719,products!$A$1:$A$49,0))</f>
        <v>Ara</v>
      </c>
      <c r="J719" t="str">
        <f>INDEX(products!$C$1:$C$49,MATCH($D719,products!$A$1:$A$49,0))</f>
        <v>D</v>
      </c>
      <c r="K719" s="4">
        <f>INDEX(products!$D$1:$D$49,MATCH($D719,products!$A$1:$A$49,0))</f>
        <v>2.5</v>
      </c>
      <c r="L719" s="5">
        <f>INDEX(products!$E$1:$E$49,MATCH($D719,products!$A$1:$A$49,0))</f>
        <v>22.884999999999998</v>
      </c>
      <c r="M719" s="5">
        <f t="shared" si="11"/>
        <v>68.655000000000001</v>
      </c>
      <c r="N719" t="str" cm="1">
        <f t="array" ref="N719">_xlfn.IFS(I719="Rob","Robusta",I719="Exc","Excelsa",I719="Ara","Arabica",I719="Lib","Liberica")</f>
        <v>Arabica</v>
      </c>
      <c r="O719" t="str" cm="1">
        <f t="array" ref="O719">_xlfn.SWITCH($J719,"M","Medium","L","Light","D","Dark")</f>
        <v>Dark</v>
      </c>
      <c r="P719" t="str">
        <f>_xlfn.XLOOKUP(Table1[[#This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IF(_xlfn.XLOOKUP(C720,customers!$A$1:$A$1001,customers!$C$1:$C$1001,,0)=0,"Not _Provided",_xlfn.XLOOKUP(C720,customers!$A$1:$A$1001,customers!$C$1:$C$1001,,0))</f>
        <v>dheafordjy@twitpic.com</v>
      </c>
      <c r="H720" s="2" t="str">
        <f>_xlfn.XLOOKUP(C720,customers!$A$1:$A$1001,customers!$G$1:$G$1001,,0)</f>
        <v>United States</v>
      </c>
      <c r="I720" t="str">
        <f>INDEX(products!$B$1:$B$49,MATCH($D720,products!$A$1:$A$49,0))</f>
        <v>Lib</v>
      </c>
      <c r="J720" t="str">
        <f>INDEX(products!$C$1:$C$49,MATCH($D720,products!$A$1:$A$49,0))</f>
        <v>D</v>
      </c>
      <c r="K720" s="4">
        <f>INDEX(products!$D$1:$D$49,MATCH($D720,products!$A$1:$A$49,0))</f>
        <v>1</v>
      </c>
      <c r="L720" s="5">
        <f>INDEX(products!$E$1:$E$49,MATCH($D720,products!$A$1:$A$49,0))</f>
        <v>12.95</v>
      </c>
      <c r="M720" s="5">
        <f t="shared" si="11"/>
        <v>38.849999999999994</v>
      </c>
      <c r="N720" t="str" cm="1">
        <f t="array" ref="N720">_xlfn.IFS(I720="Rob","Robusta",I720="Exc","Excelsa",I720="Ara","Arabica",I720="Lib","Liberica")</f>
        <v>Liberica</v>
      </c>
      <c r="O720" t="str" cm="1">
        <f t="array" ref="O720">_xlfn.SWITCH($J720,"M","Medium","L","Light","D","Dark")</f>
        <v>Dark</v>
      </c>
      <c r="P720" t="str">
        <f>_xlfn.XLOOKUP(Table1[[#This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IF(_xlfn.XLOOKUP(C721,customers!$A$1:$A$1001,customers!$C$1:$C$1001,,0)=0,"Not _Provided",_xlfn.XLOOKUP(C721,customers!$A$1:$A$1001,customers!$C$1:$C$1001,,0))</f>
        <v>gfanthamjz@hexun.com</v>
      </c>
      <c r="H721" s="2" t="str">
        <f>_xlfn.XLOOKUP(C721,customers!$A$1:$A$1001,customers!$G$1:$G$1001,,0)</f>
        <v>United States</v>
      </c>
      <c r="I721" t="str">
        <f>INDEX(products!$B$1:$B$49,MATCH($D721,products!$A$1:$A$49,0))</f>
        <v>Lib</v>
      </c>
      <c r="J721" t="str">
        <f>INDEX(products!$C$1:$C$49,MATCH($D721,products!$A$1:$A$49,0))</f>
        <v>L</v>
      </c>
      <c r="K721" s="4">
        <f>INDEX(products!$D$1:$D$49,MATCH($D721,products!$A$1:$A$49,0))</f>
        <v>1</v>
      </c>
      <c r="L721" s="5">
        <f>INDEX(products!$E$1:$E$49,MATCH($D721,products!$A$1:$A$49,0))</f>
        <v>15.85</v>
      </c>
      <c r="M721" s="5">
        <f t="shared" si="11"/>
        <v>79.25</v>
      </c>
      <c r="N721" t="str" cm="1">
        <f t="array" ref="N721">_xlfn.IFS(I721="Rob","Robusta",I721="Exc","Excelsa",I721="Ara","Arabica",I721="Lib","Liberica")</f>
        <v>Liberica</v>
      </c>
      <c r="O721" t="str" cm="1">
        <f t="array" ref="O721">_xlfn.SWITCH($J721,"M","Medium","L","Light","D","Dark")</f>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IF(_xlfn.XLOOKUP(C722,customers!$A$1:$A$1001,customers!$C$1:$C$1001,,0)=0,"Not _Provided",_xlfn.XLOOKUP(C722,customers!$A$1:$A$1001,customers!$C$1:$C$1001,,0))</f>
        <v>rcrookshanksk0@unc.edu</v>
      </c>
      <c r="H722" s="2" t="str">
        <f>_xlfn.XLOOKUP(C722,customers!$A$1:$A$1001,customers!$G$1:$G$1001,,0)</f>
        <v>United States</v>
      </c>
      <c r="I722" t="str">
        <f>INDEX(products!$B$1:$B$49,MATCH($D722,products!$A$1:$A$49,0))</f>
        <v>Exc</v>
      </c>
      <c r="J722" t="str">
        <f>INDEX(products!$C$1:$C$49,MATCH($D722,products!$A$1:$A$49,0))</f>
        <v>D</v>
      </c>
      <c r="K722" s="4">
        <f>INDEX(products!$D$1:$D$49,MATCH($D722,products!$A$1:$A$49,0))</f>
        <v>0.5</v>
      </c>
      <c r="L722" s="5">
        <f>INDEX(products!$E$1:$E$49,MATCH($D722,products!$A$1:$A$49,0))</f>
        <v>7.29</v>
      </c>
      <c r="M722" s="5">
        <f t="shared" si="11"/>
        <v>36.450000000000003</v>
      </c>
      <c r="N722" t="str" cm="1">
        <f t="array" ref="N722">_xlfn.IFS(I722="Rob","Robusta",I722="Exc","Excelsa",I722="Ara","Arabica",I722="Lib","Liberica")</f>
        <v>Excelsa</v>
      </c>
      <c r="O722" t="str" cm="1">
        <f t="array" ref="O722">_xlfn.SWITCH($J722,"M","Medium","L","Light","D","Dark")</f>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IF(_xlfn.XLOOKUP(C723,customers!$A$1:$A$1001,customers!$C$1:$C$1001,,0)=0,"Not _Provided",_xlfn.XLOOKUP(C723,customers!$A$1:$A$1001,customers!$C$1:$C$1001,,0))</f>
        <v>nleakek1@cmu.edu</v>
      </c>
      <c r="H723" s="2" t="str">
        <f>_xlfn.XLOOKUP(C723,customers!$A$1:$A$1001,customers!$G$1:$G$1001,,0)</f>
        <v>United States</v>
      </c>
      <c r="I723" t="str">
        <f>INDEX(products!$B$1:$B$49,MATCH($D723,products!$A$1:$A$49,0))</f>
        <v>Rob</v>
      </c>
      <c r="J723" t="str">
        <f>INDEX(products!$C$1:$C$49,MATCH($D723,products!$A$1:$A$49,0))</f>
        <v>M</v>
      </c>
      <c r="K723" s="4">
        <f>INDEX(products!$D$1:$D$49,MATCH($D723,products!$A$1:$A$49,0))</f>
        <v>0.2</v>
      </c>
      <c r="L723" s="5">
        <f>INDEX(products!$E$1:$E$49,MATCH($D723,products!$A$1:$A$49,0))</f>
        <v>2.9849999999999999</v>
      </c>
      <c r="M723" s="5">
        <f t="shared" si="11"/>
        <v>8.9550000000000001</v>
      </c>
      <c r="N723" t="str" cm="1">
        <f t="array" ref="N723">_xlfn.IFS(I723="Rob","Robusta",I723="Exc","Excelsa",I723="Ara","Arabica",I723="Lib","Liberica")</f>
        <v>Robusta</v>
      </c>
      <c r="O723" t="str" cm="1">
        <f t="array" ref="O723">_xlfn.SWITCH($J723,"M","Medium","L","Light","D","Dark")</f>
        <v>Medium</v>
      </c>
      <c r="P723" t="str">
        <f>_xlfn.XLOOKUP(Table1[[#This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IF(_xlfn.XLOOKUP(C724,customers!$A$1:$A$1001,customers!$C$1:$C$1001,,0)=0,"Not _Provided",_xlfn.XLOOKUP(C724,customers!$A$1:$A$1001,customers!$C$1:$C$1001,,0))</f>
        <v>Not _Provided</v>
      </c>
      <c r="H724" s="2" t="str">
        <f>_xlfn.XLOOKUP(C724,customers!$A$1:$A$1001,customers!$G$1:$G$1001,,0)</f>
        <v>United States</v>
      </c>
      <c r="I724" t="str">
        <f>INDEX(products!$B$1:$B$49,MATCH($D724,products!$A$1:$A$49,0))</f>
        <v>Exc</v>
      </c>
      <c r="J724" t="str">
        <f>INDEX(products!$C$1:$C$49,MATCH($D724,products!$A$1:$A$49,0))</f>
        <v>D</v>
      </c>
      <c r="K724" s="4">
        <f>INDEX(products!$D$1:$D$49,MATCH($D724,products!$A$1:$A$49,0))</f>
        <v>1</v>
      </c>
      <c r="L724" s="5">
        <f>INDEX(products!$E$1:$E$49,MATCH($D724,products!$A$1:$A$49,0))</f>
        <v>12.15</v>
      </c>
      <c r="M724" s="5">
        <f t="shared" si="11"/>
        <v>24.3</v>
      </c>
      <c r="N724" t="str" cm="1">
        <f t="array" ref="N724">_xlfn.IFS(I724="Rob","Robusta",I724="Exc","Excelsa",I724="Ara","Arabica",I724="Lib","Liberica")</f>
        <v>Excelsa</v>
      </c>
      <c r="O724" t="str" cm="1">
        <f t="array" ref="O724">_xlfn.SWITCH($J724,"M","Medium","L","Light","D","Dark")</f>
        <v>Dark</v>
      </c>
      <c r="P724" t="str">
        <f>_xlfn.XLOOKUP(Table1[[#This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IF(_xlfn.XLOOKUP(C725,customers!$A$1:$A$1001,customers!$C$1:$C$1001,,0)=0,"Not _Provided",_xlfn.XLOOKUP(C725,customers!$A$1:$A$1001,customers!$C$1:$C$1001,,0))</f>
        <v>geilhersenk3@networksolutions.com</v>
      </c>
      <c r="H725" s="2" t="str">
        <f>_xlfn.XLOOKUP(C725,customers!$A$1:$A$1001,customers!$G$1:$G$1001,,0)</f>
        <v>United States</v>
      </c>
      <c r="I725" t="str">
        <f>INDEX(products!$B$1:$B$49,MATCH($D725,products!$A$1:$A$49,0))</f>
        <v>Exc</v>
      </c>
      <c r="J725" t="str">
        <f>INDEX(products!$C$1:$C$49,MATCH($D725,products!$A$1:$A$49,0))</f>
        <v>M</v>
      </c>
      <c r="K725" s="4">
        <f>INDEX(products!$D$1:$D$49,MATCH($D725,products!$A$1:$A$49,0))</f>
        <v>2.5</v>
      </c>
      <c r="L725" s="5">
        <f>INDEX(products!$E$1:$E$49,MATCH($D725,products!$A$1:$A$49,0))</f>
        <v>31.624999999999996</v>
      </c>
      <c r="M725" s="5">
        <f t="shared" si="11"/>
        <v>63.249999999999993</v>
      </c>
      <c r="N725" t="str" cm="1">
        <f t="array" ref="N725">_xlfn.IFS(I725="Rob","Robusta",I725="Exc","Excelsa",I725="Ara","Arabica",I725="Lib","Liberica")</f>
        <v>Excelsa</v>
      </c>
      <c r="O725" t="str" cm="1">
        <f t="array" ref="O725">_xlfn.SWITCH($J725,"M","Medium","L","Light","D","Dark")</f>
        <v>Medium</v>
      </c>
      <c r="P725" t="str">
        <f>_xlfn.XLOOKUP(Table1[[#This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IF(_xlfn.XLOOKUP(C726,customers!$A$1:$A$1001,customers!$C$1:$C$1001,,0)=0,"Not _Provided",_xlfn.XLOOKUP(C726,customers!$A$1:$A$1001,customers!$C$1:$C$1001,,0))</f>
        <v>Not _Provided</v>
      </c>
      <c r="H726" s="2" t="str">
        <f>_xlfn.XLOOKUP(C726,customers!$A$1:$A$1001,customers!$G$1:$G$1001,,0)</f>
        <v>United States</v>
      </c>
      <c r="I726" t="str">
        <f>INDEX(products!$B$1:$B$49,MATCH($D726,products!$A$1:$A$49,0))</f>
        <v>Ara</v>
      </c>
      <c r="J726" t="str">
        <f>INDEX(products!$C$1:$C$49,MATCH($D726,products!$A$1:$A$49,0))</f>
        <v>M</v>
      </c>
      <c r="K726" s="4">
        <f>INDEX(products!$D$1:$D$49,MATCH($D726,products!$A$1:$A$49,0))</f>
        <v>0.2</v>
      </c>
      <c r="L726" s="5">
        <f>INDEX(products!$E$1:$E$49,MATCH($D726,products!$A$1:$A$49,0))</f>
        <v>3.375</v>
      </c>
      <c r="M726" s="5">
        <f t="shared" si="11"/>
        <v>6.75</v>
      </c>
      <c r="N726" t="str" cm="1">
        <f t="array" ref="N726">_xlfn.IFS(I726="Rob","Robusta",I726="Exc","Excelsa",I726="Ara","Arabica",I726="Lib","Liberica")</f>
        <v>Arabica</v>
      </c>
      <c r="O726" t="str" cm="1">
        <f t="array" ref="O726">_xlfn.SWITCH($J726,"M","Medium","L","Light","D","Dark")</f>
        <v>Medium</v>
      </c>
      <c r="P726" t="str">
        <f>_xlfn.XLOOKUP(Table1[[#This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IF(_xlfn.XLOOKUP(C727,customers!$A$1:$A$1001,customers!$C$1:$C$1001,,0)=0,"Not _Provided",_xlfn.XLOOKUP(C727,customers!$A$1:$A$1001,customers!$C$1:$C$1001,,0))</f>
        <v>caleixok5@globo.com</v>
      </c>
      <c r="H727" s="2" t="str">
        <f>_xlfn.XLOOKUP(C727,customers!$A$1:$A$1001,customers!$G$1:$G$1001,,0)</f>
        <v>United States</v>
      </c>
      <c r="I727" t="str">
        <f>INDEX(products!$B$1:$B$49,MATCH($D727,products!$A$1:$A$49,0))</f>
        <v>Ara</v>
      </c>
      <c r="J727" t="str">
        <f>INDEX(products!$C$1:$C$49,MATCH($D727,products!$A$1:$A$49,0))</f>
        <v>L</v>
      </c>
      <c r="K727" s="4">
        <f>INDEX(products!$D$1:$D$49,MATCH($D727,products!$A$1:$A$49,0))</f>
        <v>0.2</v>
      </c>
      <c r="L727" s="5">
        <f>INDEX(products!$E$1:$E$49,MATCH($D727,products!$A$1:$A$49,0))</f>
        <v>3.8849999999999998</v>
      </c>
      <c r="M727" s="5">
        <f t="shared" si="11"/>
        <v>23.31</v>
      </c>
      <c r="N727" t="str" cm="1">
        <f t="array" ref="N727">_xlfn.IFS(I727="Rob","Robusta",I727="Exc","Excelsa",I727="Ara","Arabica",I727="Lib","Liberica")</f>
        <v>Arabica</v>
      </c>
      <c r="O727" t="str" cm="1">
        <f t="array" ref="O727">_xlfn.SWITCH($J727,"M","Medium","L","Light","D","Dark")</f>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IF(_xlfn.XLOOKUP(C728,customers!$A$1:$A$1001,customers!$C$1:$C$1001,,0)=0,"Not _Provided",_xlfn.XLOOKUP(C728,customers!$A$1:$A$1001,customers!$C$1:$C$1001,,0))</f>
        <v>Not _Provided</v>
      </c>
      <c r="H728" s="2" t="str">
        <f>_xlfn.XLOOKUP(C728,customers!$A$1:$A$1001,customers!$G$1:$G$1001,,0)</f>
        <v>United States</v>
      </c>
      <c r="I728" t="str">
        <f>INDEX(products!$B$1:$B$49,MATCH($D728,products!$A$1:$A$49,0))</f>
        <v>Lib</v>
      </c>
      <c r="J728" t="str">
        <f>INDEX(products!$C$1:$C$49,MATCH($D728,products!$A$1:$A$49,0))</f>
        <v>L</v>
      </c>
      <c r="K728" s="4">
        <f>INDEX(products!$D$1:$D$49,MATCH($D728,products!$A$1:$A$49,0))</f>
        <v>2.5</v>
      </c>
      <c r="L728" s="5">
        <f>INDEX(products!$E$1:$E$49,MATCH($D728,products!$A$1:$A$49,0))</f>
        <v>36.454999999999998</v>
      </c>
      <c r="M728" s="5">
        <f t="shared" si="11"/>
        <v>145.82</v>
      </c>
      <c r="N728" t="str" cm="1">
        <f t="array" ref="N728">_xlfn.IFS(I728="Rob","Robusta",I728="Exc","Excelsa",I728="Ara","Arabica",I728="Lib","Liberica")</f>
        <v>Liberica</v>
      </c>
      <c r="O728" t="str" cm="1">
        <f t="array" ref="O728">_xlfn.SWITCH($J728,"M","Medium","L","Light","D","Dark")</f>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IF(_xlfn.XLOOKUP(C729,customers!$A$1:$A$1001,customers!$C$1:$C$1001,,0)=0,"Not _Provided",_xlfn.XLOOKUP(C729,customers!$A$1:$A$1001,customers!$C$1:$C$1001,,0))</f>
        <v>rtomkowiczk7@bravesites.com</v>
      </c>
      <c r="H729" s="2" t="str">
        <f>_xlfn.XLOOKUP(C729,customers!$A$1:$A$1001,customers!$G$1:$G$1001,,0)</f>
        <v>Ireland</v>
      </c>
      <c r="I729" t="str">
        <f>INDEX(products!$B$1:$B$49,MATCH($D729,products!$A$1:$A$49,0))</f>
        <v>Rob</v>
      </c>
      <c r="J729" t="str">
        <f>INDEX(products!$C$1:$C$49,MATCH($D729,products!$A$1:$A$49,0))</f>
        <v>M</v>
      </c>
      <c r="K729" s="4">
        <f>INDEX(products!$D$1:$D$49,MATCH($D729,products!$A$1:$A$49,0))</f>
        <v>0.5</v>
      </c>
      <c r="L729" s="5">
        <f>INDEX(products!$E$1:$E$49,MATCH($D729,products!$A$1:$A$49,0))</f>
        <v>5.97</v>
      </c>
      <c r="M729" s="5">
        <f t="shared" si="11"/>
        <v>29.849999999999998</v>
      </c>
      <c r="N729" t="str" cm="1">
        <f t="array" ref="N729">_xlfn.IFS(I729="Rob","Robusta",I729="Exc","Excelsa",I729="Ara","Arabica",I729="Lib","Liberica")</f>
        <v>Robusta</v>
      </c>
      <c r="O729" t="str" cm="1">
        <f t="array" ref="O729">_xlfn.SWITCH($J729,"M","Medium","L","Light","D","Dark")</f>
        <v>Medium</v>
      </c>
      <c r="P729" t="str">
        <f>_xlfn.XLOOKUP(Table1[[#This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IF(_xlfn.XLOOKUP(C730,customers!$A$1:$A$1001,customers!$C$1:$C$1001,,0)=0,"Not _Provided",_xlfn.XLOOKUP(C730,customers!$A$1:$A$1001,customers!$C$1:$C$1001,,0))</f>
        <v>rhuscroftk8@jimdo.com</v>
      </c>
      <c r="H730" s="2" t="str">
        <f>_xlfn.XLOOKUP(C730,customers!$A$1:$A$1001,customers!$G$1:$G$1001,,0)</f>
        <v>United States</v>
      </c>
      <c r="I730" t="str">
        <f>INDEX(products!$B$1:$B$49,MATCH($D730,products!$A$1:$A$49,0))</f>
        <v>Exc</v>
      </c>
      <c r="J730" t="str">
        <f>INDEX(products!$C$1:$C$49,MATCH($D730,products!$A$1:$A$49,0))</f>
        <v>D</v>
      </c>
      <c r="K730" s="4">
        <f>INDEX(products!$D$1:$D$49,MATCH($D730,products!$A$1:$A$49,0))</f>
        <v>0.5</v>
      </c>
      <c r="L730" s="5">
        <f>INDEX(products!$E$1:$E$49,MATCH($D730,products!$A$1:$A$49,0))</f>
        <v>7.29</v>
      </c>
      <c r="M730" s="5">
        <f t="shared" si="11"/>
        <v>21.87</v>
      </c>
      <c r="N730" t="str" cm="1">
        <f t="array" ref="N730">_xlfn.IFS(I730="Rob","Robusta",I730="Exc","Excelsa",I730="Ara","Arabica",I730="Lib","Liberica")</f>
        <v>Excelsa</v>
      </c>
      <c r="O730" t="str" cm="1">
        <f t="array" ref="O730">_xlfn.SWITCH($J730,"M","Medium","L","Light","D","Dark")</f>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IF(_xlfn.XLOOKUP(C731,customers!$A$1:$A$1001,customers!$C$1:$C$1001,,0)=0,"Not _Provided",_xlfn.XLOOKUP(C731,customers!$A$1:$A$1001,customers!$C$1:$C$1001,,0))</f>
        <v>sscurrerk9@flavors.me</v>
      </c>
      <c r="H731" s="2" t="str">
        <f>_xlfn.XLOOKUP(C731,customers!$A$1:$A$1001,customers!$G$1:$G$1001,,0)</f>
        <v>United Kingdom</v>
      </c>
      <c r="I731" t="str">
        <f>INDEX(products!$B$1:$B$49,MATCH($D731,products!$A$1:$A$49,0))</f>
        <v>Lib</v>
      </c>
      <c r="J731" t="str">
        <f>INDEX(products!$C$1:$C$49,MATCH($D731,products!$A$1:$A$49,0))</f>
        <v>M</v>
      </c>
      <c r="K731" s="4">
        <f>INDEX(products!$D$1:$D$49,MATCH($D731,products!$A$1:$A$49,0))</f>
        <v>0.2</v>
      </c>
      <c r="L731" s="5">
        <f>INDEX(products!$E$1:$E$49,MATCH($D731,products!$A$1:$A$49,0))</f>
        <v>4.3650000000000002</v>
      </c>
      <c r="M731" s="5">
        <f t="shared" si="11"/>
        <v>4.3650000000000002</v>
      </c>
      <c r="N731" t="str" cm="1">
        <f t="array" ref="N731">_xlfn.IFS(I731="Rob","Robusta",I731="Exc","Excelsa",I731="Ara","Arabica",I731="Lib","Liberica")</f>
        <v>Liberica</v>
      </c>
      <c r="O731" t="str" cm="1">
        <f t="array" ref="O731">_xlfn.SWITCH($J731,"M","Medium","L","Light","D","Dark")</f>
        <v>Medium</v>
      </c>
      <c r="P731" t="str">
        <f>_xlfn.XLOOKUP(Table1[[#This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IF(_xlfn.XLOOKUP(C732,customers!$A$1:$A$1001,customers!$C$1:$C$1001,,0)=0,"Not _Provided",_xlfn.XLOOKUP(C732,customers!$A$1:$A$1001,customers!$C$1:$C$1001,,0))</f>
        <v>arudramka@prnewswire.com</v>
      </c>
      <c r="H732" s="2" t="str">
        <f>_xlfn.XLOOKUP(C732,customers!$A$1:$A$1001,customers!$G$1:$G$1001,,0)</f>
        <v>United States</v>
      </c>
      <c r="I732" t="str">
        <f>INDEX(products!$B$1:$B$49,MATCH($D732,products!$A$1:$A$49,0))</f>
        <v>Lib</v>
      </c>
      <c r="J732" t="str">
        <f>INDEX(products!$C$1:$C$49,MATCH($D732,products!$A$1:$A$49,0))</f>
        <v>L</v>
      </c>
      <c r="K732" s="4">
        <f>INDEX(products!$D$1:$D$49,MATCH($D732,products!$A$1:$A$49,0))</f>
        <v>2.5</v>
      </c>
      <c r="L732" s="5">
        <f>INDEX(products!$E$1:$E$49,MATCH($D732,products!$A$1:$A$49,0))</f>
        <v>36.454999999999998</v>
      </c>
      <c r="M732" s="5">
        <f t="shared" si="11"/>
        <v>36.454999999999998</v>
      </c>
      <c r="N732" t="str" cm="1">
        <f t="array" ref="N732">_xlfn.IFS(I732="Rob","Robusta",I732="Exc","Excelsa",I732="Ara","Arabica",I732="Lib","Liberica")</f>
        <v>Liberica</v>
      </c>
      <c r="O732" t="str" cm="1">
        <f t="array" ref="O732">_xlfn.SWITCH($J732,"M","Medium","L","Light","D","Dark")</f>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IF(_xlfn.XLOOKUP(C733,customers!$A$1:$A$1001,customers!$C$1:$C$1001,,0)=0,"Not _Provided",_xlfn.XLOOKUP(C733,customers!$A$1:$A$1001,customers!$C$1:$C$1001,,0))</f>
        <v>Not _Provided</v>
      </c>
      <c r="H733" s="2" t="str">
        <f>_xlfn.XLOOKUP(C733,customers!$A$1:$A$1001,customers!$G$1:$G$1001,,0)</f>
        <v>United States</v>
      </c>
      <c r="I733" t="str">
        <f>INDEX(products!$B$1:$B$49,MATCH($D733,products!$A$1:$A$49,0))</f>
        <v>Lib</v>
      </c>
      <c r="J733" t="str">
        <f>INDEX(products!$C$1:$C$49,MATCH($D733,products!$A$1:$A$49,0))</f>
        <v>D</v>
      </c>
      <c r="K733" s="4">
        <f>INDEX(products!$D$1:$D$49,MATCH($D733,products!$A$1:$A$49,0))</f>
        <v>0.2</v>
      </c>
      <c r="L733" s="5">
        <f>INDEX(products!$E$1:$E$49,MATCH($D733,products!$A$1:$A$49,0))</f>
        <v>3.8849999999999998</v>
      </c>
      <c r="M733" s="5">
        <f t="shared" si="11"/>
        <v>15.54</v>
      </c>
      <c r="N733" t="str" cm="1">
        <f t="array" ref="N733">_xlfn.IFS(I733="Rob","Robusta",I733="Exc","Excelsa",I733="Ara","Arabica",I733="Lib","Liberica")</f>
        <v>Liberica</v>
      </c>
      <c r="O733" t="str" cm="1">
        <f t="array" ref="O733">_xlfn.SWITCH($J733,"M","Medium","L","Light","D","Dark")</f>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IF(_xlfn.XLOOKUP(C734,customers!$A$1:$A$1001,customers!$C$1:$C$1001,,0)=0,"Not _Provided",_xlfn.XLOOKUP(C734,customers!$A$1:$A$1001,customers!$C$1:$C$1001,,0))</f>
        <v>jmahakc@cyberchimps.com</v>
      </c>
      <c r="H734" s="2" t="str">
        <f>_xlfn.XLOOKUP(C734,customers!$A$1:$A$1001,customers!$G$1:$G$1001,,0)</f>
        <v>United States</v>
      </c>
      <c r="I734" t="str">
        <f>INDEX(products!$B$1:$B$49,MATCH($D734,products!$A$1:$A$49,0))</f>
        <v>Exc</v>
      </c>
      <c r="J734" t="str">
        <f>INDEX(products!$C$1:$C$49,MATCH($D734,products!$A$1:$A$49,0))</f>
        <v>L</v>
      </c>
      <c r="K734" s="4">
        <f>INDEX(products!$D$1:$D$49,MATCH($D734,products!$A$1:$A$49,0))</f>
        <v>0.2</v>
      </c>
      <c r="L734" s="5">
        <f>INDEX(products!$E$1:$E$49,MATCH($D734,products!$A$1:$A$49,0))</f>
        <v>4.4550000000000001</v>
      </c>
      <c r="M734" s="5">
        <f t="shared" si="11"/>
        <v>8.91</v>
      </c>
      <c r="N734" t="str" cm="1">
        <f t="array" ref="N734">_xlfn.IFS(I734="Rob","Robusta",I734="Exc","Excelsa",I734="Ara","Arabica",I734="Lib","Liberica")</f>
        <v>Excelsa</v>
      </c>
      <c r="O734" t="str" cm="1">
        <f t="array" ref="O734">_xlfn.SWITCH($J734,"M","Medium","L","Light","D","Dark")</f>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IF(_xlfn.XLOOKUP(C735,customers!$A$1:$A$1001,customers!$C$1:$C$1001,,0)=0,"Not _Provided",_xlfn.XLOOKUP(C735,customers!$A$1:$A$1001,customers!$C$1:$C$1001,,0))</f>
        <v>gclemonkd@networksolutions.com</v>
      </c>
      <c r="H735" s="2" t="str">
        <f>_xlfn.XLOOKUP(C735,customers!$A$1:$A$1001,customers!$G$1:$G$1001,,0)</f>
        <v>United States</v>
      </c>
      <c r="I735" t="str">
        <f>INDEX(products!$B$1:$B$49,MATCH($D735,products!$A$1:$A$49,0))</f>
        <v>Lib</v>
      </c>
      <c r="J735" t="str">
        <f>INDEX(products!$C$1:$C$49,MATCH($D735,products!$A$1:$A$49,0))</f>
        <v>M</v>
      </c>
      <c r="K735" s="4">
        <f>INDEX(products!$D$1:$D$49,MATCH($D735,products!$A$1:$A$49,0))</f>
        <v>2.5</v>
      </c>
      <c r="L735" s="5">
        <f>INDEX(products!$E$1:$E$49,MATCH($D735,products!$A$1:$A$49,0))</f>
        <v>33.464999999999996</v>
      </c>
      <c r="M735" s="5">
        <f t="shared" si="11"/>
        <v>100.39499999999998</v>
      </c>
      <c r="N735" t="str" cm="1">
        <f t="array" ref="N735">_xlfn.IFS(I735="Rob","Robusta",I735="Exc","Excelsa",I735="Ara","Arabica",I735="Lib","Liberica")</f>
        <v>Liberica</v>
      </c>
      <c r="O735" t="str" cm="1">
        <f t="array" ref="O735">_xlfn.SWITCH($J735,"M","Medium","L","Light","D","Dark")</f>
        <v>Medium</v>
      </c>
      <c r="P735" t="str">
        <f>_xlfn.XLOOKUP(Table1[[#This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IF(_xlfn.XLOOKUP(C736,customers!$A$1:$A$1001,customers!$C$1:$C$1001,,0)=0,"Not _Provided",_xlfn.XLOOKUP(C736,customers!$A$1:$A$1001,customers!$C$1:$C$1001,,0))</f>
        <v>Not _Provided</v>
      </c>
      <c r="H736" s="2" t="str">
        <f>_xlfn.XLOOKUP(C736,customers!$A$1:$A$1001,customers!$G$1:$G$1001,,0)</f>
        <v>United States</v>
      </c>
      <c r="I736" t="str">
        <f>INDEX(products!$B$1:$B$49,MATCH($D736,products!$A$1:$A$49,0))</f>
        <v>Rob</v>
      </c>
      <c r="J736" t="str">
        <f>INDEX(products!$C$1:$C$49,MATCH($D736,products!$A$1:$A$49,0))</f>
        <v>D</v>
      </c>
      <c r="K736" s="4">
        <f>INDEX(products!$D$1:$D$49,MATCH($D736,products!$A$1:$A$49,0))</f>
        <v>0.2</v>
      </c>
      <c r="L736" s="5">
        <f>INDEX(products!$E$1:$E$49,MATCH($D736,products!$A$1:$A$49,0))</f>
        <v>2.6849999999999996</v>
      </c>
      <c r="M736" s="5">
        <f t="shared" si="11"/>
        <v>13.424999999999997</v>
      </c>
      <c r="N736" t="str" cm="1">
        <f t="array" ref="N736">_xlfn.IFS(I736="Rob","Robusta",I736="Exc","Excelsa",I736="Ara","Arabica",I736="Lib","Liberica")</f>
        <v>Robusta</v>
      </c>
      <c r="O736" t="str" cm="1">
        <f t="array" ref="O736">_xlfn.SWITCH($J736,"M","Medium","L","Light","D","Dark")</f>
        <v>Dark</v>
      </c>
      <c r="P736" t="str">
        <f>_xlfn.XLOOKUP(Table1[[#This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IF(_xlfn.XLOOKUP(C737,customers!$A$1:$A$1001,customers!$C$1:$C$1001,,0)=0,"Not _Provided",_xlfn.XLOOKUP(C737,customers!$A$1:$A$1001,customers!$C$1:$C$1001,,0))</f>
        <v>bpollinskf@shinystat.com</v>
      </c>
      <c r="H737" s="2" t="str">
        <f>_xlfn.XLOOKUP(C737,customers!$A$1:$A$1001,customers!$G$1:$G$1001,,0)</f>
        <v>United States</v>
      </c>
      <c r="I737" t="str">
        <f>INDEX(products!$B$1:$B$49,MATCH($D737,products!$A$1:$A$49,0))</f>
        <v>Exc</v>
      </c>
      <c r="J737" t="str">
        <f>INDEX(products!$C$1:$C$49,MATCH($D737,products!$A$1:$A$49,0))</f>
        <v>D</v>
      </c>
      <c r="K737" s="4">
        <f>INDEX(products!$D$1:$D$49,MATCH($D737,products!$A$1:$A$49,0))</f>
        <v>0.2</v>
      </c>
      <c r="L737" s="5">
        <f>INDEX(products!$E$1:$E$49,MATCH($D737,products!$A$1:$A$49,0))</f>
        <v>3.645</v>
      </c>
      <c r="M737" s="5">
        <f t="shared" si="11"/>
        <v>21.87</v>
      </c>
      <c r="N737" t="str" cm="1">
        <f t="array" ref="N737">_xlfn.IFS(I737="Rob","Robusta",I737="Exc","Excelsa",I737="Ara","Arabica",I737="Lib","Liberica")</f>
        <v>Excelsa</v>
      </c>
      <c r="O737" t="str" cm="1">
        <f t="array" ref="O737">_xlfn.SWITCH($J737,"M","Medium","L","Light","D","Dark")</f>
        <v>Dark</v>
      </c>
      <c r="P737" t="str">
        <f>_xlfn.XLOOKUP(Table1[[#This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IF(_xlfn.XLOOKUP(C738,customers!$A$1:$A$1001,customers!$C$1:$C$1001,,0)=0,"Not _Provided",_xlfn.XLOOKUP(C738,customers!$A$1:$A$1001,customers!$C$1:$C$1001,,0))</f>
        <v>jtoyekg@pinterest.com</v>
      </c>
      <c r="H738" s="2" t="str">
        <f>_xlfn.XLOOKUP(C738,customers!$A$1:$A$1001,customers!$G$1:$G$1001,,0)</f>
        <v>Ireland</v>
      </c>
      <c r="I738" t="str">
        <f>INDEX(products!$B$1:$B$49,MATCH($D738,products!$A$1:$A$49,0))</f>
        <v>Lib</v>
      </c>
      <c r="J738" t="str">
        <f>INDEX(products!$C$1:$C$49,MATCH($D738,products!$A$1:$A$49,0))</f>
        <v>D</v>
      </c>
      <c r="K738" s="4">
        <f>INDEX(products!$D$1:$D$49,MATCH($D738,products!$A$1:$A$49,0))</f>
        <v>1</v>
      </c>
      <c r="L738" s="5">
        <f>INDEX(products!$E$1:$E$49,MATCH($D738,products!$A$1:$A$49,0))</f>
        <v>12.95</v>
      </c>
      <c r="M738" s="5">
        <f t="shared" si="11"/>
        <v>25.9</v>
      </c>
      <c r="N738" t="str" cm="1">
        <f t="array" ref="N738">_xlfn.IFS(I738="Rob","Robusta",I738="Exc","Excelsa",I738="Ara","Arabica",I738="Lib","Liberica")</f>
        <v>Liberica</v>
      </c>
      <c r="O738" t="str" cm="1">
        <f t="array" ref="O738">_xlfn.SWITCH($J738,"M","Medium","L","Light","D","Dark")</f>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IF(_xlfn.XLOOKUP(C739,customers!$A$1:$A$1001,customers!$C$1:$C$1001,,0)=0,"Not _Provided",_xlfn.XLOOKUP(C739,customers!$A$1:$A$1001,customers!$C$1:$C$1001,,0))</f>
        <v>clinskillkh@sphinn.com</v>
      </c>
      <c r="H739" s="2" t="str">
        <f>_xlfn.XLOOKUP(C739,customers!$A$1:$A$1001,customers!$G$1:$G$1001,,0)</f>
        <v>United States</v>
      </c>
      <c r="I739" t="str">
        <f>INDEX(products!$B$1:$B$49,MATCH($D739,products!$A$1:$A$49,0))</f>
        <v>Ara</v>
      </c>
      <c r="J739" t="str">
        <f>INDEX(products!$C$1:$C$49,MATCH($D739,products!$A$1:$A$49,0))</f>
        <v>M</v>
      </c>
      <c r="K739" s="4">
        <f>INDEX(products!$D$1:$D$49,MATCH($D739,products!$A$1:$A$49,0))</f>
        <v>1</v>
      </c>
      <c r="L739" s="5">
        <f>INDEX(products!$E$1:$E$49,MATCH($D739,products!$A$1:$A$49,0))</f>
        <v>11.25</v>
      </c>
      <c r="M739" s="5">
        <f t="shared" si="11"/>
        <v>56.25</v>
      </c>
      <c r="N739" t="str" cm="1">
        <f t="array" ref="N739">_xlfn.IFS(I739="Rob","Robusta",I739="Exc","Excelsa",I739="Ara","Arabica",I739="Lib","Liberica")</f>
        <v>Arabica</v>
      </c>
      <c r="O739" t="str" cm="1">
        <f t="array" ref="O739">_xlfn.SWITCH($J739,"M","Medium","L","Light","D","Dark")</f>
        <v>Medium</v>
      </c>
      <c r="P739" t="str">
        <f>_xlfn.XLOOKUP(Table1[[#This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IF(_xlfn.XLOOKUP(C740,customers!$A$1:$A$1001,customers!$C$1:$C$1001,,0)=0,"Not _Provided",_xlfn.XLOOKUP(C740,customers!$A$1:$A$1001,customers!$C$1:$C$1001,,0))</f>
        <v>nvigrasski@ezinearticles.com</v>
      </c>
      <c r="H740" s="2" t="str">
        <f>_xlfn.XLOOKUP(C740,customers!$A$1:$A$1001,customers!$G$1:$G$1001,,0)</f>
        <v>United Kingdom</v>
      </c>
      <c r="I740" t="str">
        <f>INDEX(products!$B$1:$B$49,MATCH($D740,products!$A$1:$A$49,0))</f>
        <v>Rob</v>
      </c>
      <c r="J740" t="str">
        <f>INDEX(products!$C$1:$C$49,MATCH($D740,products!$A$1:$A$49,0))</f>
        <v>L</v>
      </c>
      <c r="K740" s="4">
        <f>INDEX(products!$D$1:$D$49,MATCH($D740,products!$A$1:$A$49,0))</f>
        <v>0.2</v>
      </c>
      <c r="L740" s="5">
        <f>INDEX(products!$E$1:$E$49,MATCH($D740,products!$A$1:$A$49,0))</f>
        <v>3.5849999999999995</v>
      </c>
      <c r="M740" s="5">
        <f t="shared" si="11"/>
        <v>10.754999999999999</v>
      </c>
      <c r="N740" t="str" cm="1">
        <f t="array" ref="N740">_xlfn.IFS(I740="Rob","Robusta",I740="Exc","Excelsa",I740="Ara","Arabica",I740="Lib","Liberica")</f>
        <v>Robusta</v>
      </c>
      <c r="O740" t="str" cm="1">
        <f t="array" ref="O740">_xlfn.SWITCH($J740,"M","Medium","L","Light","D","Dark")</f>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IF(_xlfn.XLOOKUP(C741,customers!$A$1:$A$1001,customers!$C$1:$C$1001,,0)=0,"Not _Provided",_xlfn.XLOOKUP(C741,customers!$A$1:$A$1001,customers!$C$1:$C$1001,,0))</f>
        <v>jdymokeje@prnewswire.com</v>
      </c>
      <c r="H741" s="2" t="str">
        <f>_xlfn.XLOOKUP(C741,customers!$A$1:$A$1001,customers!$G$1:$G$1001,,0)</f>
        <v>Ireland</v>
      </c>
      <c r="I741" t="str">
        <f>INDEX(products!$B$1:$B$49,MATCH($D741,products!$A$1:$A$49,0))</f>
        <v>Exc</v>
      </c>
      <c r="J741" t="str">
        <f>INDEX(products!$C$1:$C$49,MATCH($D741,products!$A$1:$A$49,0))</f>
        <v>D</v>
      </c>
      <c r="K741" s="4">
        <f>INDEX(products!$D$1:$D$49,MATCH($D741,products!$A$1:$A$49,0))</f>
        <v>0.2</v>
      </c>
      <c r="L741" s="5">
        <f>INDEX(products!$E$1:$E$49,MATCH($D741,products!$A$1:$A$49,0))</f>
        <v>3.645</v>
      </c>
      <c r="M741" s="5">
        <f t="shared" si="11"/>
        <v>18.225000000000001</v>
      </c>
      <c r="N741" t="str" cm="1">
        <f t="array" ref="N741">_xlfn.IFS(I741="Rob","Robusta",I741="Exc","Excelsa",I741="Ara","Arabica",I741="Lib","Liberica")</f>
        <v>Excelsa</v>
      </c>
      <c r="O741" t="str" cm="1">
        <f t="array" ref="O741">_xlfn.SWITCH($J741,"M","Medium","L","Light","D","Dark")</f>
        <v>Dark</v>
      </c>
      <c r="P741" t="str">
        <f>_xlfn.XLOOKUP(Table1[[#This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IF(_xlfn.XLOOKUP(C742,customers!$A$1:$A$1001,customers!$C$1:$C$1001,,0)=0,"Not _Provided",_xlfn.XLOOKUP(C742,customers!$A$1:$A$1001,customers!$C$1:$C$1001,,0))</f>
        <v>kcragellkk@google.com</v>
      </c>
      <c r="H742" s="2" t="str">
        <f>_xlfn.XLOOKUP(C742,customers!$A$1:$A$1001,customers!$G$1:$G$1001,,0)</f>
        <v>Ireland</v>
      </c>
      <c r="I742" t="str">
        <f>INDEX(products!$B$1:$B$49,MATCH($D742,products!$A$1:$A$49,0))</f>
        <v>Rob</v>
      </c>
      <c r="J742" t="str">
        <f>INDEX(products!$C$1:$C$49,MATCH($D742,products!$A$1:$A$49,0))</f>
        <v>L</v>
      </c>
      <c r="K742" s="4">
        <f>INDEX(products!$D$1:$D$49,MATCH($D742,products!$A$1:$A$49,0))</f>
        <v>0.5</v>
      </c>
      <c r="L742" s="5">
        <f>INDEX(products!$E$1:$E$49,MATCH($D742,products!$A$1:$A$49,0))</f>
        <v>7.169999999999999</v>
      </c>
      <c r="M742" s="5">
        <f t="shared" si="11"/>
        <v>28.679999999999996</v>
      </c>
      <c r="N742" t="str" cm="1">
        <f t="array" ref="N742">_xlfn.IFS(I742="Rob","Robusta",I742="Exc","Excelsa",I742="Ara","Arabica",I742="Lib","Liberica")</f>
        <v>Robusta</v>
      </c>
      <c r="O742" t="str" cm="1">
        <f t="array" ref="O742">_xlfn.SWITCH($J742,"M","Medium","L","Light","D","Dark")</f>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IF(_xlfn.XLOOKUP(C743,customers!$A$1:$A$1001,customers!$C$1:$C$1001,,0)=0,"Not _Provided",_xlfn.XLOOKUP(C743,customers!$A$1:$A$1001,customers!$C$1:$C$1001,,0))</f>
        <v>libertkl@huffingtonpost.com</v>
      </c>
      <c r="H743" s="2" t="str">
        <f>_xlfn.XLOOKUP(C743,customers!$A$1:$A$1001,customers!$G$1:$G$1001,,0)</f>
        <v>United States</v>
      </c>
      <c r="I743" t="str">
        <f>INDEX(products!$B$1:$B$49,MATCH($D743,products!$A$1:$A$49,0))</f>
        <v>Lib</v>
      </c>
      <c r="J743" t="str">
        <f>INDEX(products!$C$1:$C$49,MATCH($D743,products!$A$1:$A$49,0))</f>
        <v>M</v>
      </c>
      <c r="K743" s="4">
        <f>INDEX(products!$D$1:$D$49,MATCH($D743,products!$A$1:$A$49,0))</f>
        <v>0.2</v>
      </c>
      <c r="L743" s="5">
        <f>INDEX(products!$E$1:$E$49,MATCH($D743,products!$A$1:$A$49,0))</f>
        <v>4.3650000000000002</v>
      </c>
      <c r="M743" s="5">
        <f t="shared" si="11"/>
        <v>8.73</v>
      </c>
      <c r="N743" t="str" cm="1">
        <f t="array" ref="N743">_xlfn.IFS(I743="Rob","Robusta",I743="Exc","Excelsa",I743="Ara","Arabica",I743="Lib","Liberica")</f>
        <v>Liberica</v>
      </c>
      <c r="O743" t="str" cm="1">
        <f t="array" ref="O743">_xlfn.SWITCH($J743,"M","Medium","L","Light","D","Dark")</f>
        <v>Medium</v>
      </c>
      <c r="P743" t="str">
        <f>_xlfn.XLOOKUP(Table1[[#This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IF(_xlfn.XLOOKUP(C744,customers!$A$1:$A$1001,customers!$C$1:$C$1001,,0)=0,"Not _Provided",_xlfn.XLOOKUP(C744,customers!$A$1:$A$1001,customers!$C$1:$C$1001,,0))</f>
        <v>rlidgeykm@vimeo.com</v>
      </c>
      <c r="H744" s="2" t="str">
        <f>_xlfn.XLOOKUP(C744,customers!$A$1:$A$1001,customers!$G$1:$G$1001,,0)</f>
        <v>United States</v>
      </c>
      <c r="I744" t="str">
        <f>INDEX(products!$B$1:$B$49,MATCH($D744,products!$A$1:$A$49,0))</f>
        <v>Lib</v>
      </c>
      <c r="J744" t="str">
        <f>INDEX(products!$C$1:$C$49,MATCH($D744,products!$A$1:$A$49,0))</f>
        <v>M</v>
      </c>
      <c r="K744" s="4">
        <f>INDEX(products!$D$1:$D$49,MATCH($D744,products!$A$1:$A$49,0))</f>
        <v>1</v>
      </c>
      <c r="L744" s="5">
        <f>INDEX(products!$E$1:$E$49,MATCH($D744,products!$A$1:$A$49,0))</f>
        <v>14.55</v>
      </c>
      <c r="M744" s="5">
        <f t="shared" si="11"/>
        <v>58.2</v>
      </c>
      <c r="N744" t="str" cm="1">
        <f t="array" ref="N744">_xlfn.IFS(I744="Rob","Robusta",I744="Exc","Excelsa",I744="Ara","Arabica",I744="Lib","Liberica")</f>
        <v>Liberica</v>
      </c>
      <c r="O744" t="str" cm="1">
        <f t="array" ref="O744">_xlfn.SWITCH($J744,"M","Medium","L","Light","D","Dark")</f>
        <v>Medium</v>
      </c>
      <c r="P744" t="str">
        <f>_xlfn.XLOOKUP(Table1[[#This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IF(_xlfn.XLOOKUP(C745,customers!$A$1:$A$1001,customers!$C$1:$C$1001,,0)=0,"Not _Provided",_xlfn.XLOOKUP(C745,customers!$A$1:$A$1001,customers!$C$1:$C$1001,,0))</f>
        <v>tcastagnekn@wikia.com</v>
      </c>
      <c r="H745" s="2" t="str">
        <f>_xlfn.XLOOKUP(C745,customers!$A$1:$A$1001,customers!$G$1:$G$1001,,0)</f>
        <v>United States</v>
      </c>
      <c r="I745" t="str">
        <f>INDEX(products!$B$1:$B$49,MATCH($D745,products!$A$1:$A$49,0))</f>
        <v>Ara</v>
      </c>
      <c r="J745" t="str">
        <f>INDEX(products!$C$1:$C$49,MATCH($D745,products!$A$1:$A$49,0))</f>
        <v>D</v>
      </c>
      <c r="K745" s="4">
        <f>INDEX(products!$D$1:$D$49,MATCH($D745,products!$A$1:$A$49,0))</f>
        <v>0.5</v>
      </c>
      <c r="L745" s="5">
        <f>INDEX(products!$E$1:$E$49,MATCH($D745,products!$A$1:$A$49,0))</f>
        <v>5.97</v>
      </c>
      <c r="M745" s="5">
        <f t="shared" si="11"/>
        <v>17.91</v>
      </c>
      <c r="N745" t="str" cm="1">
        <f t="array" ref="N745">_xlfn.IFS(I745="Rob","Robusta",I745="Exc","Excelsa",I745="Ara","Arabica",I745="Lib","Liberica")</f>
        <v>Arabica</v>
      </c>
      <c r="O745" t="str" cm="1">
        <f t="array" ref="O745">_xlfn.SWITCH($J745,"M","Medium","L","Light","D","Dark")</f>
        <v>Dark</v>
      </c>
      <c r="P745" t="str">
        <f>_xlfn.XLOOKUP(Table1[[#This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IF(_xlfn.XLOOKUP(C746,customers!$A$1:$A$1001,customers!$C$1:$C$1001,,0)=0,"Not _Provided",_xlfn.XLOOKUP(C746,customers!$A$1:$A$1001,customers!$C$1:$C$1001,,0))</f>
        <v>Not _Provided</v>
      </c>
      <c r="H746" s="2" t="str">
        <f>_xlfn.XLOOKUP(C746,customers!$A$1:$A$1001,customers!$G$1:$G$1001,,0)</f>
        <v>United States</v>
      </c>
      <c r="I746" t="str">
        <f>INDEX(products!$B$1:$B$49,MATCH($D746,products!$A$1:$A$49,0))</f>
        <v>Rob</v>
      </c>
      <c r="J746" t="str">
        <f>INDEX(products!$C$1:$C$49,MATCH($D746,products!$A$1:$A$49,0))</f>
        <v>M</v>
      </c>
      <c r="K746" s="4">
        <f>INDEX(products!$D$1:$D$49,MATCH($D746,products!$A$1:$A$49,0))</f>
        <v>0.2</v>
      </c>
      <c r="L746" s="5">
        <f>INDEX(products!$E$1:$E$49,MATCH($D746,products!$A$1:$A$49,0))</f>
        <v>2.9849999999999999</v>
      </c>
      <c r="M746" s="5">
        <f t="shared" si="11"/>
        <v>17.91</v>
      </c>
      <c r="N746" t="str" cm="1">
        <f t="array" ref="N746">_xlfn.IFS(I746="Rob","Robusta",I746="Exc","Excelsa",I746="Ara","Arabica",I746="Lib","Liberica")</f>
        <v>Robusta</v>
      </c>
      <c r="O746" t="str" cm="1">
        <f t="array" ref="O746">_xlfn.SWITCH($J746,"M","Medium","L","Light","D","Dark")</f>
        <v>Medium</v>
      </c>
      <c r="P746" t="str">
        <f>_xlfn.XLOOKUP(Table1[[#This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IF(_xlfn.XLOOKUP(C747,customers!$A$1:$A$1001,customers!$C$1:$C$1001,,0)=0,"Not _Provided",_xlfn.XLOOKUP(C747,customers!$A$1:$A$1001,customers!$C$1:$C$1001,,0))</f>
        <v>jhaldenkp@comcast.net</v>
      </c>
      <c r="H747" s="2" t="str">
        <f>_xlfn.XLOOKUP(C747,customers!$A$1:$A$1001,customers!$G$1:$G$1001,,0)</f>
        <v>Ireland</v>
      </c>
      <c r="I747" t="str">
        <f>INDEX(products!$B$1:$B$49,MATCH($D747,products!$A$1:$A$49,0))</f>
        <v>Exc</v>
      </c>
      <c r="J747" t="str">
        <f>INDEX(products!$C$1:$C$49,MATCH($D747,products!$A$1:$A$49,0))</f>
        <v>D</v>
      </c>
      <c r="K747" s="4">
        <f>INDEX(products!$D$1:$D$49,MATCH($D747,products!$A$1:$A$49,0))</f>
        <v>0.5</v>
      </c>
      <c r="L747" s="5">
        <f>INDEX(products!$E$1:$E$49,MATCH($D747,products!$A$1:$A$49,0))</f>
        <v>7.29</v>
      </c>
      <c r="M747" s="5">
        <f t="shared" si="11"/>
        <v>14.58</v>
      </c>
      <c r="N747" t="str" cm="1">
        <f t="array" ref="N747">_xlfn.IFS(I747="Rob","Robusta",I747="Exc","Excelsa",I747="Ara","Arabica",I747="Lib","Liberica")</f>
        <v>Excelsa</v>
      </c>
      <c r="O747" t="str" cm="1">
        <f t="array" ref="O747">_xlfn.SWITCH($J747,"M","Medium","L","Light","D","Dark")</f>
        <v>Dark</v>
      </c>
      <c r="P747" t="str">
        <f>_xlfn.XLOOKUP(Table1[[#This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IF(_xlfn.XLOOKUP(C748,customers!$A$1:$A$1001,customers!$C$1:$C$1001,,0)=0,"Not _Provided",_xlfn.XLOOKUP(C748,customers!$A$1:$A$1001,customers!$C$1:$C$1001,,0))</f>
        <v>holliffkq@sciencedirect.com</v>
      </c>
      <c r="H748" s="2" t="str">
        <f>_xlfn.XLOOKUP(C748,customers!$A$1:$A$1001,customers!$G$1:$G$1001,,0)</f>
        <v>Ireland</v>
      </c>
      <c r="I748" t="str">
        <f>INDEX(products!$B$1:$B$49,MATCH($D748,products!$A$1:$A$49,0))</f>
        <v>Ara</v>
      </c>
      <c r="J748" t="str">
        <f>INDEX(products!$C$1:$C$49,MATCH($D748,products!$A$1:$A$49,0))</f>
        <v>M</v>
      </c>
      <c r="K748" s="4">
        <f>INDEX(products!$D$1:$D$49,MATCH($D748,products!$A$1:$A$49,0))</f>
        <v>1</v>
      </c>
      <c r="L748" s="5">
        <f>INDEX(products!$E$1:$E$49,MATCH($D748,products!$A$1:$A$49,0))</f>
        <v>11.25</v>
      </c>
      <c r="M748" s="5">
        <f t="shared" si="11"/>
        <v>33.75</v>
      </c>
      <c r="N748" t="str" cm="1">
        <f t="array" ref="N748">_xlfn.IFS(I748="Rob","Robusta",I748="Exc","Excelsa",I748="Ara","Arabica",I748="Lib","Liberica")</f>
        <v>Arabica</v>
      </c>
      <c r="O748" t="str" cm="1">
        <f t="array" ref="O748">_xlfn.SWITCH($J748,"M","Medium","L","Light","D","Dark")</f>
        <v>Medium</v>
      </c>
      <c r="P748" t="str">
        <f>_xlfn.XLOOKUP(Table1[[#This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IF(_xlfn.XLOOKUP(C749,customers!$A$1:$A$1001,customers!$C$1:$C$1001,,0)=0,"Not _Provided",_xlfn.XLOOKUP(C749,customers!$A$1:$A$1001,customers!$C$1:$C$1001,,0))</f>
        <v>tquadrikr@opensource.org</v>
      </c>
      <c r="H749" s="2" t="str">
        <f>_xlfn.XLOOKUP(C749,customers!$A$1:$A$1001,customers!$G$1:$G$1001,,0)</f>
        <v>Ireland</v>
      </c>
      <c r="I749" t="str">
        <f>INDEX(products!$B$1:$B$49,MATCH($D749,products!$A$1:$A$49,0))</f>
        <v>Lib</v>
      </c>
      <c r="J749" t="str">
        <f>INDEX(products!$C$1:$C$49,MATCH($D749,products!$A$1:$A$49,0))</f>
        <v>M</v>
      </c>
      <c r="K749" s="4">
        <f>INDEX(products!$D$1:$D$49,MATCH($D749,products!$A$1:$A$49,0))</f>
        <v>0.5</v>
      </c>
      <c r="L749" s="5">
        <f>INDEX(products!$E$1:$E$49,MATCH($D749,products!$A$1:$A$49,0))</f>
        <v>8.73</v>
      </c>
      <c r="M749" s="5">
        <f t="shared" si="11"/>
        <v>34.92</v>
      </c>
      <c r="N749" t="str" cm="1">
        <f t="array" ref="N749">_xlfn.IFS(I749="Rob","Robusta",I749="Exc","Excelsa",I749="Ara","Arabica",I749="Lib","Liberica")</f>
        <v>Liberica</v>
      </c>
      <c r="O749" t="str" cm="1">
        <f t="array" ref="O749">_xlfn.SWITCH($J749,"M","Medium","L","Light","D","Dark")</f>
        <v>Medium</v>
      </c>
      <c r="P749" t="str">
        <f>_xlfn.XLOOKUP(Table1[[#This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IF(_xlfn.XLOOKUP(C750,customers!$A$1:$A$1001,customers!$C$1:$C$1001,,0)=0,"Not _Provided",_xlfn.XLOOKUP(C750,customers!$A$1:$A$1001,customers!$C$1:$C$1001,,0))</f>
        <v>feshmadeks@umn.edu</v>
      </c>
      <c r="H750" s="2" t="str">
        <f>_xlfn.XLOOKUP(C750,customers!$A$1:$A$1001,customers!$G$1:$G$1001,,0)</f>
        <v>United States</v>
      </c>
      <c r="I750" t="str">
        <f>INDEX(products!$B$1:$B$49,MATCH($D750,products!$A$1:$A$49,0))</f>
        <v>Exc</v>
      </c>
      <c r="J750" t="str">
        <f>INDEX(products!$C$1:$C$49,MATCH($D750,products!$A$1:$A$49,0))</f>
        <v>D</v>
      </c>
      <c r="K750" s="4">
        <f>INDEX(products!$D$1:$D$49,MATCH($D750,products!$A$1:$A$49,0))</f>
        <v>0.5</v>
      </c>
      <c r="L750" s="5">
        <f>INDEX(products!$E$1:$E$49,MATCH($D750,products!$A$1:$A$49,0))</f>
        <v>7.29</v>
      </c>
      <c r="M750" s="5">
        <f t="shared" si="11"/>
        <v>14.58</v>
      </c>
      <c r="N750" t="str" cm="1">
        <f t="array" ref="N750">_xlfn.IFS(I750="Rob","Robusta",I750="Exc","Excelsa",I750="Ara","Arabica",I750="Lib","Liberica")</f>
        <v>Excelsa</v>
      </c>
      <c r="O750" t="str" cm="1">
        <f t="array" ref="O750">_xlfn.SWITCH($J750,"M","Medium","L","Light","D","Dark")</f>
        <v>Dark</v>
      </c>
      <c r="P750" t="str">
        <f>_xlfn.XLOOKUP(Table1[[#This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IF(_xlfn.XLOOKUP(C751,customers!$A$1:$A$1001,customers!$C$1:$C$1001,,0)=0,"Not _Provided",_xlfn.XLOOKUP(C751,customers!$A$1:$A$1001,customers!$C$1:$C$1001,,0))</f>
        <v>moilierkt@paginegialle.it</v>
      </c>
      <c r="H751" s="2" t="str">
        <f>_xlfn.XLOOKUP(C751,customers!$A$1:$A$1001,customers!$G$1:$G$1001,,0)</f>
        <v>Ireland</v>
      </c>
      <c r="I751" t="str">
        <f>INDEX(products!$B$1:$B$49,MATCH($D751,products!$A$1:$A$49,0))</f>
        <v>Rob</v>
      </c>
      <c r="J751" t="str">
        <f>INDEX(products!$C$1:$C$49,MATCH($D751,products!$A$1:$A$49,0))</f>
        <v>D</v>
      </c>
      <c r="K751" s="4">
        <f>INDEX(products!$D$1:$D$49,MATCH($D751,products!$A$1:$A$49,0))</f>
        <v>0.2</v>
      </c>
      <c r="L751" s="5">
        <f>INDEX(products!$E$1:$E$49,MATCH($D751,products!$A$1:$A$49,0))</f>
        <v>2.6849999999999996</v>
      </c>
      <c r="M751" s="5">
        <f t="shared" si="11"/>
        <v>5.3699999999999992</v>
      </c>
      <c r="N751" t="str" cm="1">
        <f t="array" ref="N751">_xlfn.IFS(I751="Rob","Robusta",I751="Exc","Excelsa",I751="Ara","Arabica",I751="Lib","Liberica")</f>
        <v>Robusta</v>
      </c>
      <c r="O751" t="str" cm="1">
        <f t="array" ref="O751">_xlfn.SWITCH($J751,"M","Medium","L","Light","D","Dark")</f>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IF(_xlfn.XLOOKUP(C752,customers!$A$1:$A$1001,customers!$C$1:$C$1001,,0)=0,"Not _Provided",_xlfn.XLOOKUP(C752,customers!$A$1:$A$1001,customers!$C$1:$C$1001,,0))</f>
        <v>Not _Provided</v>
      </c>
      <c r="H752" s="2" t="str">
        <f>_xlfn.XLOOKUP(C752,customers!$A$1:$A$1001,customers!$G$1:$G$1001,,0)</f>
        <v>United States</v>
      </c>
      <c r="I752" t="str">
        <f>INDEX(products!$B$1:$B$49,MATCH($D752,products!$A$1:$A$49,0))</f>
        <v>Rob</v>
      </c>
      <c r="J752" t="str">
        <f>INDEX(products!$C$1:$C$49,MATCH($D752,products!$A$1:$A$49,0))</f>
        <v>M</v>
      </c>
      <c r="K752" s="4">
        <f>INDEX(products!$D$1:$D$49,MATCH($D752,products!$A$1:$A$49,0))</f>
        <v>0.5</v>
      </c>
      <c r="L752" s="5">
        <f>INDEX(products!$E$1:$E$49,MATCH($D752,products!$A$1:$A$49,0))</f>
        <v>5.97</v>
      </c>
      <c r="M752" s="5">
        <f t="shared" si="11"/>
        <v>5.97</v>
      </c>
      <c r="N752" t="str" cm="1">
        <f t="array" ref="N752">_xlfn.IFS(I752="Rob","Robusta",I752="Exc","Excelsa",I752="Ara","Arabica",I752="Lib","Liberica")</f>
        <v>Robusta</v>
      </c>
      <c r="O752" t="str" cm="1">
        <f t="array" ref="O752">_xlfn.SWITCH($J752,"M","Medium","L","Light","D","Dark")</f>
        <v>Medium</v>
      </c>
      <c r="P752" t="str">
        <f>_xlfn.XLOOKUP(Table1[[#This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IF(_xlfn.XLOOKUP(C753,customers!$A$1:$A$1001,customers!$C$1:$C$1001,,0)=0,"Not _Provided",_xlfn.XLOOKUP(C753,customers!$A$1:$A$1001,customers!$C$1:$C$1001,,0))</f>
        <v>vshoebothamkv@redcross.org</v>
      </c>
      <c r="H753" s="2" t="str">
        <f>_xlfn.XLOOKUP(C753,customers!$A$1:$A$1001,customers!$G$1:$G$1001,,0)</f>
        <v>United States</v>
      </c>
      <c r="I753" t="str">
        <f>INDEX(products!$B$1:$B$49,MATCH($D753,products!$A$1:$A$49,0))</f>
        <v>Lib</v>
      </c>
      <c r="J753" t="str">
        <f>INDEX(products!$C$1:$C$49,MATCH($D753,products!$A$1:$A$49,0))</f>
        <v>L</v>
      </c>
      <c r="K753" s="4">
        <f>INDEX(products!$D$1:$D$49,MATCH($D753,products!$A$1:$A$49,0))</f>
        <v>0.5</v>
      </c>
      <c r="L753" s="5">
        <f>INDEX(products!$E$1:$E$49,MATCH($D753,products!$A$1:$A$49,0))</f>
        <v>9.51</v>
      </c>
      <c r="M753" s="5">
        <f t="shared" si="11"/>
        <v>19.02</v>
      </c>
      <c r="N753" t="str" cm="1">
        <f t="array" ref="N753">_xlfn.IFS(I753="Rob","Robusta",I753="Exc","Excelsa",I753="Ara","Arabica",I753="Lib","Liberica")</f>
        <v>Liberica</v>
      </c>
      <c r="O753" t="str" cm="1">
        <f t="array" ref="O753">_xlfn.SWITCH($J753,"M","Medium","L","Light","D","Dark")</f>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IF(_xlfn.XLOOKUP(C754,customers!$A$1:$A$1001,customers!$C$1:$C$1001,,0)=0,"Not _Provided",_xlfn.XLOOKUP(C754,customers!$A$1:$A$1001,customers!$C$1:$C$1001,,0))</f>
        <v>bsterkekw@biblegateway.com</v>
      </c>
      <c r="H754" s="2" t="str">
        <f>_xlfn.XLOOKUP(C754,customers!$A$1:$A$1001,customers!$G$1:$G$1001,,0)</f>
        <v>United States</v>
      </c>
      <c r="I754" t="str">
        <f>INDEX(products!$B$1:$B$49,MATCH($D754,products!$A$1:$A$49,0))</f>
        <v>Exc</v>
      </c>
      <c r="J754" t="str">
        <f>INDEX(products!$C$1:$C$49,MATCH($D754,products!$A$1:$A$49,0))</f>
        <v>M</v>
      </c>
      <c r="K754" s="4">
        <f>INDEX(products!$D$1:$D$49,MATCH($D754,products!$A$1:$A$49,0))</f>
        <v>1</v>
      </c>
      <c r="L754" s="5">
        <f>INDEX(products!$E$1:$E$49,MATCH($D754,products!$A$1:$A$49,0))</f>
        <v>13.75</v>
      </c>
      <c r="M754" s="5">
        <f t="shared" si="11"/>
        <v>27.5</v>
      </c>
      <c r="N754" t="str" cm="1">
        <f t="array" ref="N754">_xlfn.IFS(I754="Rob","Robusta",I754="Exc","Excelsa",I754="Ara","Arabica",I754="Lib","Liberica")</f>
        <v>Excelsa</v>
      </c>
      <c r="O754" t="str" cm="1">
        <f t="array" ref="O754">_xlfn.SWITCH($J754,"M","Medium","L","Light","D","Dark")</f>
        <v>Medium</v>
      </c>
      <c r="P754" t="str">
        <f>_xlfn.XLOOKUP(Table1[[#This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IF(_xlfn.XLOOKUP(C755,customers!$A$1:$A$1001,customers!$C$1:$C$1001,,0)=0,"Not _Provided",_xlfn.XLOOKUP(C755,customers!$A$1:$A$1001,customers!$C$1:$C$1001,,0))</f>
        <v>scaponkx@craigslist.org</v>
      </c>
      <c r="H755" s="2" t="str">
        <f>_xlfn.XLOOKUP(C755,customers!$A$1:$A$1001,customers!$G$1:$G$1001,,0)</f>
        <v>United States</v>
      </c>
      <c r="I755" t="str">
        <f>INDEX(products!$B$1:$B$49,MATCH($D755,products!$A$1:$A$49,0))</f>
        <v>Ara</v>
      </c>
      <c r="J755" t="str">
        <f>INDEX(products!$C$1:$C$49,MATCH($D755,products!$A$1:$A$49,0))</f>
        <v>D</v>
      </c>
      <c r="K755" s="4">
        <f>INDEX(products!$D$1:$D$49,MATCH($D755,products!$A$1:$A$49,0))</f>
        <v>0.5</v>
      </c>
      <c r="L755" s="5">
        <f>INDEX(products!$E$1:$E$49,MATCH($D755,products!$A$1:$A$49,0))</f>
        <v>5.97</v>
      </c>
      <c r="M755" s="5">
        <f t="shared" si="11"/>
        <v>29.849999999999998</v>
      </c>
      <c r="N755" t="str" cm="1">
        <f t="array" ref="N755">_xlfn.IFS(I755="Rob","Robusta",I755="Exc","Excelsa",I755="Ara","Arabica",I755="Lib","Liberica")</f>
        <v>Arabica</v>
      </c>
      <c r="O755" t="str" cm="1">
        <f t="array" ref="O755">_xlfn.SWITCH($J755,"M","Medium","L","Light","D","Dark")</f>
        <v>Dark</v>
      </c>
      <c r="P755" t="str">
        <f>_xlfn.XLOOKUP(Table1[[#This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IF(_xlfn.XLOOKUP(C756,customers!$A$1:$A$1001,customers!$C$1:$C$1001,,0)=0,"Not _Provided",_xlfn.XLOOKUP(C756,customers!$A$1:$A$1001,customers!$C$1:$C$1001,,0))</f>
        <v>jdymokeje@prnewswire.com</v>
      </c>
      <c r="H756" s="2" t="str">
        <f>_xlfn.XLOOKUP(C756,customers!$A$1:$A$1001,customers!$G$1:$G$1001,,0)</f>
        <v>Ireland</v>
      </c>
      <c r="I756" t="str">
        <f>INDEX(products!$B$1:$B$49,MATCH($D756,products!$A$1:$A$49,0))</f>
        <v>Ara</v>
      </c>
      <c r="J756" t="str">
        <f>INDEX(products!$C$1:$C$49,MATCH($D756,products!$A$1:$A$49,0))</f>
        <v>D</v>
      </c>
      <c r="K756" s="4">
        <f>INDEX(products!$D$1:$D$49,MATCH($D756,products!$A$1:$A$49,0))</f>
        <v>0.2</v>
      </c>
      <c r="L756" s="5">
        <f>INDEX(products!$E$1:$E$49,MATCH($D756,products!$A$1:$A$49,0))</f>
        <v>2.9849999999999999</v>
      </c>
      <c r="M756" s="5">
        <f t="shared" si="11"/>
        <v>17.91</v>
      </c>
      <c r="N756" t="str" cm="1">
        <f t="array" ref="N756">_xlfn.IFS(I756="Rob","Robusta",I756="Exc","Excelsa",I756="Ara","Arabica",I756="Lib","Liberica")</f>
        <v>Arabica</v>
      </c>
      <c r="O756" t="str" cm="1">
        <f t="array" ref="O756">_xlfn.SWITCH($J756,"M","Medium","L","Light","D","Dark")</f>
        <v>Dark</v>
      </c>
      <c r="P756" t="str">
        <f>_xlfn.XLOOKUP(Table1[[#This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IF(_xlfn.XLOOKUP(C757,customers!$A$1:$A$1001,customers!$C$1:$C$1001,,0)=0,"Not _Provided",_xlfn.XLOOKUP(C757,customers!$A$1:$A$1001,customers!$C$1:$C$1001,,0))</f>
        <v>fconstancekz@ifeng.com</v>
      </c>
      <c r="H757" s="2" t="str">
        <f>_xlfn.XLOOKUP(C757,customers!$A$1:$A$1001,customers!$G$1:$G$1001,,0)</f>
        <v>United States</v>
      </c>
      <c r="I757" t="str">
        <f>INDEX(products!$B$1:$B$49,MATCH($D757,products!$A$1:$A$49,0))</f>
        <v>Lib</v>
      </c>
      <c r="J757" t="str">
        <f>INDEX(products!$C$1:$C$49,MATCH($D757,products!$A$1:$A$49,0))</f>
        <v>L</v>
      </c>
      <c r="K757" s="4">
        <f>INDEX(products!$D$1:$D$49,MATCH($D757,products!$A$1:$A$49,0))</f>
        <v>0.2</v>
      </c>
      <c r="L757" s="5">
        <f>INDEX(products!$E$1:$E$49,MATCH($D757,products!$A$1:$A$49,0))</f>
        <v>4.7549999999999999</v>
      </c>
      <c r="M757" s="5">
        <f t="shared" si="11"/>
        <v>28.53</v>
      </c>
      <c r="N757" t="str" cm="1">
        <f t="array" ref="N757">_xlfn.IFS(I757="Rob","Robusta",I757="Exc","Excelsa",I757="Ara","Arabica",I757="Lib","Liberica")</f>
        <v>Liberica</v>
      </c>
      <c r="O757" t="str" cm="1">
        <f t="array" ref="O757">_xlfn.SWITCH($J757,"M","Medium","L","Light","D","Dark")</f>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IF(_xlfn.XLOOKUP(C758,customers!$A$1:$A$1001,customers!$C$1:$C$1001,,0)=0,"Not _Provided",_xlfn.XLOOKUP(C758,customers!$A$1:$A$1001,customers!$C$1:$C$1001,,0))</f>
        <v>fsulmanl0@washington.edu</v>
      </c>
      <c r="H758" s="2" t="str">
        <f>_xlfn.XLOOKUP(C758,customers!$A$1:$A$1001,customers!$G$1:$G$1001,,0)</f>
        <v>United States</v>
      </c>
      <c r="I758" t="str">
        <f>INDEX(products!$B$1:$B$49,MATCH($D758,products!$A$1:$A$49,0))</f>
        <v>Rob</v>
      </c>
      <c r="J758" t="str">
        <f>INDEX(products!$C$1:$C$49,MATCH($D758,products!$A$1:$A$49,0))</f>
        <v>D</v>
      </c>
      <c r="K758" s="4">
        <f>INDEX(products!$D$1:$D$49,MATCH($D758,products!$A$1:$A$49,0))</f>
        <v>1</v>
      </c>
      <c r="L758" s="5">
        <f>INDEX(products!$E$1:$E$49,MATCH($D758,products!$A$1:$A$49,0))</f>
        <v>8.9499999999999993</v>
      </c>
      <c r="M758" s="5">
        <f t="shared" si="11"/>
        <v>35.799999999999997</v>
      </c>
      <c r="N758" t="str" cm="1">
        <f t="array" ref="N758">_xlfn.IFS(I758="Rob","Robusta",I758="Exc","Excelsa",I758="Ara","Arabica",I758="Lib","Liberica")</f>
        <v>Robusta</v>
      </c>
      <c r="O758" t="str" cm="1">
        <f t="array" ref="O758">_xlfn.SWITCH($J758,"M","Medium","L","Light","D","Dark")</f>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IF(_xlfn.XLOOKUP(C759,customers!$A$1:$A$1001,customers!$C$1:$C$1001,,0)=0,"Not _Provided",_xlfn.XLOOKUP(C759,customers!$A$1:$A$1001,customers!$C$1:$C$1001,,0))</f>
        <v>dhollymanl1@ibm.com</v>
      </c>
      <c r="H759" s="2" t="str">
        <f>_xlfn.XLOOKUP(C759,customers!$A$1:$A$1001,customers!$G$1:$G$1001,,0)</f>
        <v>United States</v>
      </c>
      <c r="I759" t="str">
        <f>INDEX(products!$B$1:$B$49,MATCH($D759,products!$A$1:$A$49,0))</f>
        <v>Ara</v>
      </c>
      <c r="J759" t="str">
        <f>INDEX(products!$C$1:$C$49,MATCH($D759,products!$A$1:$A$49,0))</f>
        <v>D</v>
      </c>
      <c r="K759" s="4">
        <f>INDEX(products!$D$1:$D$49,MATCH($D759,products!$A$1:$A$49,0))</f>
        <v>0.5</v>
      </c>
      <c r="L759" s="5">
        <f>INDEX(products!$E$1:$E$49,MATCH($D759,products!$A$1:$A$49,0))</f>
        <v>5.97</v>
      </c>
      <c r="M759" s="5">
        <f t="shared" si="11"/>
        <v>17.91</v>
      </c>
      <c r="N759" t="str" cm="1">
        <f t="array" ref="N759">_xlfn.IFS(I759="Rob","Robusta",I759="Exc","Excelsa",I759="Ara","Arabica",I759="Lib","Liberica")</f>
        <v>Arabica</v>
      </c>
      <c r="O759" t="str" cm="1">
        <f t="array" ref="O759">_xlfn.SWITCH($J759,"M","Medium","L","Light","D","Dark")</f>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IF(_xlfn.XLOOKUP(C760,customers!$A$1:$A$1001,customers!$C$1:$C$1001,,0)=0,"Not _Provided",_xlfn.XLOOKUP(C760,customers!$A$1:$A$1001,customers!$C$1:$C$1001,,0))</f>
        <v>lnardonil2@hao123.com</v>
      </c>
      <c r="H760" s="2" t="str">
        <f>_xlfn.XLOOKUP(C760,customers!$A$1:$A$1001,customers!$G$1:$G$1001,,0)</f>
        <v>United States</v>
      </c>
      <c r="I760" t="str">
        <f>INDEX(products!$B$1:$B$49,MATCH($D760,products!$A$1:$A$49,0))</f>
        <v>Rob</v>
      </c>
      <c r="J760" t="str">
        <f>INDEX(products!$C$1:$C$49,MATCH($D760,products!$A$1:$A$49,0))</f>
        <v>D</v>
      </c>
      <c r="K760" s="4">
        <f>INDEX(products!$D$1:$D$49,MATCH($D760,products!$A$1:$A$49,0))</f>
        <v>1</v>
      </c>
      <c r="L760" s="5">
        <f>INDEX(products!$E$1:$E$49,MATCH($D760,products!$A$1:$A$49,0))</f>
        <v>8.9499999999999993</v>
      </c>
      <c r="M760" s="5">
        <f t="shared" si="11"/>
        <v>8.9499999999999993</v>
      </c>
      <c r="N760" t="str" cm="1">
        <f t="array" ref="N760">_xlfn.IFS(I760="Rob","Robusta",I760="Exc","Excelsa",I760="Ara","Arabica",I760="Lib","Liberica")</f>
        <v>Robusta</v>
      </c>
      <c r="O760" t="str" cm="1">
        <f t="array" ref="O760">_xlfn.SWITCH($J760,"M","Medium","L","Light","D","Dark")</f>
        <v>Dark</v>
      </c>
      <c r="P760" t="str">
        <f>_xlfn.XLOOKUP(Table1[[#This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IF(_xlfn.XLOOKUP(C761,customers!$A$1:$A$1001,customers!$C$1:$C$1001,,0)=0,"Not _Provided",_xlfn.XLOOKUP(C761,customers!$A$1:$A$1001,customers!$C$1:$C$1001,,0))</f>
        <v>dyarhaml3@moonfruit.com</v>
      </c>
      <c r="H761" s="2" t="str">
        <f>_xlfn.XLOOKUP(C761,customers!$A$1:$A$1001,customers!$G$1:$G$1001,,0)</f>
        <v>United States</v>
      </c>
      <c r="I761" t="str">
        <f>INDEX(products!$B$1:$B$49,MATCH($D761,products!$A$1:$A$49,0))</f>
        <v>Lib</v>
      </c>
      <c r="J761" t="str">
        <f>INDEX(products!$C$1:$C$49,MATCH($D761,products!$A$1:$A$49,0))</f>
        <v>D</v>
      </c>
      <c r="K761" s="4">
        <f>INDEX(products!$D$1:$D$49,MATCH($D761,products!$A$1:$A$49,0))</f>
        <v>2.5</v>
      </c>
      <c r="L761" s="5">
        <f>INDEX(products!$E$1:$E$49,MATCH($D761,products!$A$1:$A$49,0))</f>
        <v>29.784999999999997</v>
      </c>
      <c r="M761" s="5">
        <f t="shared" si="11"/>
        <v>29.784999999999997</v>
      </c>
      <c r="N761" t="str" cm="1">
        <f t="array" ref="N761">_xlfn.IFS(I761="Rob","Robusta",I761="Exc","Excelsa",I761="Ara","Arabica",I761="Lib","Liberica")</f>
        <v>Liberica</v>
      </c>
      <c r="O761" t="str" cm="1">
        <f t="array" ref="O761">_xlfn.SWITCH($J761,"M","Medium","L","Light","D","Dark")</f>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IF(_xlfn.XLOOKUP(C762,customers!$A$1:$A$1001,customers!$C$1:$C$1001,,0)=0,"Not _Provided",_xlfn.XLOOKUP(C762,customers!$A$1:$A$1001,customers!$C$1:$C$1001,,0))</f>
        <v>aferreal4@wikia.com</v>
      </c>
      <c r="H762" s="2" t="str">
        <f>_xlfn.XLOOKUP(C762,customers!$A$1:$A$1001,customers!$G$1:$G$1001,,0)</f>
        <v>United States</v>
      </c>
      <c r="I762" t="str">
        <f>INDEX(products!$B$1:$B$49,MATCH($D762,products!$A$1:$A$49,0))</f>
        <v>Exc</v>
      </c>
      <c r="J762" t="str">
        <f>INDEX(products!$C$1:$C$49,MATCH($D762,products!$A$1:$A$49,0))</f>
        <v>L</v>
      </c>
      <c r="K762" s="4">
        <f>INDEX(products!$D$1:$D$49,MATCH($D762,products!$A$1:$A$49,0))</f>
        <v>0.5</v>
      </c>
      <c r="L762" s="5">
        <f>INDEX(products!$E$1:$E$49,MATCH($D762,products!$A$1:$A$49,0))</f>
        <v>8.91</v>
      </c>
      <c r="M762" s="5">
        <f t="shared" si="11"/>
        <v>44.55</v>
      </c>
      <c r="N762" t="str" cm="1">
        <f t="array" ref="N762">_xlfn.IFS(I762="Rob","Robusta",I762="Exc","Excelsa",I762="Ara","Arabica",I762="Lib","Liberica")</f>
        <v>Excelsa</v>
      </c>
      <c r="O762" t="str" cm="1">
        <f t="array" ref="O762">_xlfn.SWITCH($J762,"M","Medium","L","Light","D","Dark")</f>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IF(_xlfn.XLOOKUP(C763,customers!$A$1:$A$1001,customers!$C$1:$C$1001,,0)=0,"Not _Provided",_xlfn.XLOOKUP(C763,customers!$A$1:$A$1001,customers!$C$1:$C$1001,,0))</f>
        <v>ckendrickl5@webnode.com</v>
      </c>
      <c r="H763" s="2" t="str">
        <f>_xlfn.XLOOKUP(C763,customers!$A$1:$A$1001,customers!$G$1:$G$1001,,0)</f>
        <v>United States</v>
      </c>
      <c r="I763" t="str">
        <f>INDEX(products!$B$1:$B$49,MATCH($D763,products!$A$1:$A$49,0))</f>
        <v>Exc</v>
      </c>
      <c r="J763" t="str">
        <f>INDEX(products!$C$1:$C$49,MATCH($D763,products!$A$1:$A$49,0))</f>
        <v>L</v>
      </c>
      <c r="K763" s="4">
        <f>INDEX(products!$D$1:$D$49,MATCH($D763,products!$A$1:$A$49,0))</f>
        <v>1</v>
      </c>
      <c r="L763" s="5">
        <f>INDEX(products!$E$1:$E$49,MATCH($D763,products!$A$1:$A$49,0))</f>
        <v>14.85</v>
      </c>
      <c r="M763" s="5">
        <f t="shared" si="11"/>
        <v>89.1</v>
      </c>
      <c r="N763" t="str" cm="1">
        <f t="array" ref="N763">_xlfn.IFS(I763="Rob","Robusta",I763="Exc","Excelsa",I763="Ara","Arabica",I763="Lib","Liberica")</f>
        <v>Excelsa</v>
      </c>
      <c r="O763" t="str" cm="1">
        <f t="array" ref="O763">_xlfn.SWITCH($J763,"M","Medium","L","Light","D","Dark")</f>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IF(_xlfn.XLOOKUP(C764,customers!$A$1:$A$1001,customers!$C$1:$C$1001,,0)=0,"Not _Provided",_xlfn.XLOOKUP(C764,customers!$A$1:$A$1001,customers!$C$1:$C$1001,,0))</f>
        <v>sdanilchikl6@mit.edu</v>
      </c>
      <c r="H764" s="2" t="str">
        <f>_xlfn.XLOOKUP(C764,customers!$A$1:$A$1001,customers!$G$1:$G$1001,,0)</f>
        <v>United Kingdom</v>
      </c>
      <c r="I764" t="str">
        <f>INDEX(products!$B$1:$B$49,MATCH($D764,products!$A$1:$A$49,0))</f>
        <v>Lib</v>
      </c>
      <c r="J764" t="str">
        <f>INDEX(products!$C$1:$C$49,MATCH($D764,products!$A$1:$A$49,0))</f>
        <v>M</v>
      </c>
      <c r="K764" s="4">
        <f>INDEX(products!$D$1:$D$49,MATCH($D764,products!$A$1:$A$49,0))</f>
        <v>0.5</v>
      </c>
      <c r="L764" s="5">
        <f>INDEX(products!$E$1:$E$49,MATCH($D764,products!$A$1:$A$49,0))</f>
        <v>8.73</v>
      </c>
      <c r="M764" s="5">
        <f t="shared" si="11"/>
        <v>43.650000000000006</v>
      </c>
      <c r="N764" t="str" cm="1">
        <f t="array" ref="N764">_xlfn.IFS(I764="Rob","Robusta",I764="Exc","Excelsa",I764="Ara","Arabica",I764="Lib","Liberica")</f>
        <v>Liberica</v>
      </c>
      <c r="O764" t="str" cm="1">
        <f t="array" ref="O764">_xlfn.SWITCH($J764,"M","Medium","L","Light","D","Dark")</f>
        <v>Medium</v>
      </c>
      <c r="P764" t="str">
        <f>_xlfn.XLOOKUP(Table1[[#This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IF(_xlfn.XLOOKUP(C765,customers!$A$1:$A$1001,customers!$C$1:$C$1001,,0)=0,"Not _Provided",_xlfn.XLOOKUP(C765,customers!$A$1:$A$1001,customers!$C$1:$C$1001,,0))</f>
        <v>Not _Provided</v>
      </c>
      <c r="H765" s="2" t="str">
        <f>_xlfn.XLOOKUP(C765,customers!$A$1:$A$1001,customers!$G$1:$G$1001,,0)</f>
        <v>United States</v>
      </c>
      <c r="I765" t="str">
        <f>INDEX(products!$B$1:$B$49,MATCH($D765,products!$A$1:$A$49,0))</f>
        <v>Ara</v>
      </c>
      <c r="J765" t="str">
        <f>INDEX(products!$C$1:$C$49,MATCH($D765,products!$A$1:$A$49,0))</f>
        <v>L</v>
      </c>
      <c r="K765" s="4">
        <f>INDEX(products!$D$1:$D$49,MATCH($D765,products!$A$1:$A$49,0))</f>
        <v>0.5</v>
      </c>
      <c r="L765" s="5">
        <f>INDEX(products!$E$1:$E$49,MATCH($D765,products!$A$1:$A$49,0))</f>
        <v>7.77</v>
      </c>
      <c r="M765" s="5">
        <f t="shared" si="11"/>
        <v>23.31</v>
      </c>
      <c r="N765" t="str" cm="1">
        <f t="array" ref="N765">_xlfn.IFS(I765="Rob","Robusta",I765="Exc","Excelsa",I765="Ara","Arabica",I765="Lib","Liberica")</f>
        <v>Arabica</v>
      </c>
      <c r="O765" t="str" cm="1">
        <f t="array" ref="O765">_xlfn.SWITCH($J765,"M","Medium","L","Light","D","Dark")</f>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IF(_xlfn.XLOOKUP(C766,customers!$A$1:$A$1001,customers!$C$1:$C$1001,,0)=0,"Not _Provided",_xlfn.XLOOKUP(C766,customers!$A$1:$A$1001,customers!$C$1:$C$1001,,0))</f>
        <v>bfolomkinl8@yolasite.com</v>
      </c>
      <c r="H766" s="2" t="str">
        <f>_xlfn.XLOOKUP(C766,customers!$A$1:$A$1001,customers!$G$1:$G$1001,,0)</f>
        <v>United States</v>
      </c>
      <c r="I766" t="str">
        <f>INDEX(products!$B$1:$B$49,MATCH($D766,products!$A$1:$A$49,0))</f>
        <v>Ara</v>
      </c>
      <c r="J766" t="str">
        <f>INDEX(products!$C$1:$C$49,MATCH($D766,products!$A$1:$A$49,0))</f>
        <v>L</v>
      </c>
      <c r="K766" s="4">
        <f>INDEX(products!$D$1:$D$49,MATCH($D766,products!$A$1:$A$49,0))</f>
        <v>2.5</v>
      </c>
      <c r="L766" s="5">
        <f>INDEX(products!$E$1:$E$49,MATCH($D766,products!$A$1:$A$49,0))</f>
        <v>29.784999999999997</v>
      </c>
      <c r="M766" s="5">
        <f t="shared" si="11"/>
        <v>178.70999999999998</v>
      </c>
      <c r="N766" t="str" cm="1">
        <f t="array" ref="N766">_xlfn.IFS(I766="Rob","Robusta",I766="Exc","Excelsa",I766="Ara","Arabica",I766="Lib","Liberica")</f>
        <v>Arabica</v>
      </c>
      <c r="O766" t="str" cm="1">
        <f t="array" ref="O766">_xlfn.SWITCH($J766,"M","Medium","L","Light","D","Dark")</f>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IF(_xlfn.XLOOKUP(C767,customers!$A$1:$A$1001,customers!$C$1:$C$1001,,0)=0,"Not _Provided",_xlfn.XLOOKUP(C767,customers!$A$1:$A$1001,customers!$C$1:$C$1001,,0))</f>
        <v>rpursglovel9@biblegateway.com</v>
      </c>
      <c r="H767" s="2" t="str">
        <f>_xlfn.XLOOKUP(C767,customers!$A$1:$A$1001,customers!$G$1:$G$1001,,0)</f>
        <v>United States</v>
      </c>
      <c r="I767" t="str">
        <f>INDEX(products!$B$1:$B$49,MATCH($D767,products!$A$1:$A$49,0))</f>
        <v>Rob</v>
      </c>
      <c r="J767" t="str">
        <f>INDEX(products!$C$1:$C$49,MATCH($D767,products!$A$1:$A$49,0))</f>
        <v>M</v>
      </c>
      <c r="K767" s="4">
        <f>INDEX(products!$D$1:$D$49,MATCH($D767,products!$A$1:$A$49,0))</f>
        <v>1</v>
      </c>
      <c r="L767" s="5">
        <f>INDEX(products!$E$1:$E$49,MATCH($D767,products!$A$1:$A$49,0))</f>
        <v>9.9499999999999993</v>
      </c>
      <c r="M767" s="5">
        <f t="shared" si="11"/>
        <v>59.699999999999996</v>
      </c>
      <c r="N767" t="str" cm="1">
        <f t="array" ref="N767">_xlfn.IFS(I767="Rob","Robusta",I767="Exc","Excelsa",I767="Ara","Arabica",I767="Lib","Liberica")</f>
        <v>Robusta</v>
      </c>
      <c r="O767" t="str" cm="1">
        <f t="array" ref="O767">_xlfn.SWITCH($J767,"M","Medium","L","Light","D","Dark")</f>
        <v>Medium</v>
      </c>
      <c r="P767" t="str">
        <f>_xlfn.XLOOKUP(Table1[[#This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IF(_xlfn.XLOOKUP(C768,customers!$A$1:$A$1001,customers!$C$1:$C$1001,,0)=0,"Not _Provided",_xlfn.XLOOKUP(C768,customers!$A$1:$A$1001,customers!$C$1:$C$1001,,0))</f>
        <v>rpursglovel9@biblegateway.com</v>
      </c>
      <c r="H768" s="2" t="str">
        <f>_xlfn.XLOOKUP(C768,customers!$A$1:$A$1001,customers!$G$1:$G$1001,,0)</f>
        <v>United States</v>
      </c>
      <c r="I768" t="str">
        <f>INDEX(products!$B$1:$B$49,MATCH($D768,products!$A$1:$A$49,0))</f>
        <v>Ara</v>
      </c>
      <c r="J768" t="str">
        <f>INDEX(products!$C$1:$C$49,MATCH($D768,products!$A$1:$A$49,0))</f>
        <v>L</v>
      </c>
      <c r="K768" s="4">
        <f>INDEX(products!$D$1:$D$49,MATCH($D768,products!$A$1:$A$49,0))</f>
        <v>0.5</v>
      </c>
      <c r="L768" s="5">
        <f>INDEX(products!$E$1:$E$49,MATCH($D768,products!$A$1:$A$49,0))</f>
        <v>7.77</v>
      </c>
      <c r="M768" s="5">
        <f t="shared" si="11"/>
        <v>15.54</v>
      </c>
      <c r="N768" t="str" cm="1">
        <f t="array" ref="N768">_xlfn.IFS(I768="Rob","Robusta",I768="Exc","Excelsa",I768="Ara","Arabica",I768="Lib","Liberica")</f>
        <v>Arabica</v>
      </c>
      <c r="O768" t="str" cm="1">
        <f t="array" ref="O768">_xlfn.SWITCH($J768,"M","Medium","L","Light","D","Dark")</f>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IF(_xlfn.XLOOKUP(C769,customers!$A$1:$A$1001,customers!$C$1:$C$1001,,0)=0,"Not _Provided",_xlfn.XLOOKUP(C769,customers!$A$1:$A$1001,customers!$C$1:$C$1001,,0))</f>
        <v>fconstancekz@ifeng.com</v>
      </c>
      <c r="H769" s="2" t="str">
        <f>_xlfn.XLOOKUP(C769,customers!$A$1:$A$1001,customers!$G$1:$G$1001,,0)</f>
        <v>United States</v>
      </c>
      <c r="I769" t="str">
        <f>INDEX(products!$B$1:$B$49,MATCH($D769,products!$A$1:$A$49,0))</f>
        <v>Ara</v>
      </c>
      <c r="J769" t="str">
        <f>INDEX(products!$C$1:$C$49,MATCH($D769,products!$A$1:$A$49,0))</f>
        <v>L</v>
      </c>
      <c r="K769" s="4">
        <f>INDEX(products!$D$1:$D$49,MATCH($D769,products!$A$1:$A$49,0))</f>
        <v>2.5</v>
      </c>
      <c r="L769" s="5">
        <f>INDEX(products!$E$1:$E$49,MATCH($D769,products!$A$1:$A$49,0))</f>
        <v>29.784999999999997</v>
      </c>
      <c r="M769" s="5">
        <f t="shared" si="11"/>
        <v>89.35499999999999</v>
      </c>
      <c r="N769" t="str" cm="1">
        <f t="array" ref="N769">_xlfn.IFS(I769="Rob","Robusta",I769="Exc","Excelsa",I769="Ara","Arabica",I769="Lib","Liberica")</f>
        <v>Arabica</v>
      </c>
      <c r="O769" t="str" cm="1">
        <f t="array" ref="O769">_xlfn.SWITCH($J769,"M","Medium","L","Light","D","Dark")</f>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IF(_xlfn.XLOOKUP(C770,customers!$A$1:$A$1001,customers!$C$1:$C$1001,,0)=0,"Not _Provided",_xlfn.XLOOKUP(C770,customers!$A$1:$A$1001,customers!$C$1:$C$1001,,0))</f>
        <v>fconstancekz@ifeng.com</v>
      </c>
      <c r="H770" s="2" t="str">
        <f>_xlfn.XLOOKUP(C770,customers!$A$1:$A$1001,customers!$G$1:$G$1001,,0)</f>
        <v>United States</v>
      </c>
      <c r="I770" t="str">
        <f>INDEX(products!$B$1:$B$49,MATCH($D770,products!$A$1:$A$49,0))</f>
        <v>Rob</v>
      </c>
      <c r="J770" t="str">
        <f>INDEX(products!$C$1:$C$49,MATCH($D770,products!$A$1:$A$49,0))</f>
        <v>L</v>
      </c>
      <c r="K770" s="4">
        <f>INDEX(products!$D$1:$D$49,MATCH($D770,products!$A$1:$A$49,0))</f>
        <v>1</v>
      </c>
      <c r="L770" s="5">
        <f>INDEX(products!$E$1:$E$49,MATCH($D770,products!$A$1:$A$49,0))</f>
        <v>11.95</v>
      </c>
      <c r="M770" s="5">
        <f t="shared" si="11"/>
        <v>23.9</v>
      </c>
      <c r="N770" t="str" cm="1">
        <f t="array" ref="N770">_xlfn.IFS(I770="Rob","Robusta",I770="Exc","Excelsa",I770="Ara","Arabica",I770="Lib","Liberica")</f>
        <v>Robusta</v>
      </c>
      <c r="O770" t="str" cm="1">
        <f t="array" ref="O770">_xlfn.SWITCH($J770,"M","Medium","L","Light","D","Dark")</f>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IF(_xlfn.XLOOKUP(C771,customers!$A$1:$A$1001,customers!$C$1:$C$1001,,0)=0,"Not _Provided",_xlfn.XLOOKUP(C771,customers!$A$1:$A$1001,customers!$C$1:$C$1001,,0))</f>
        <v>deburahld@google.co.jp</v>
      </c>
      <c r="H771" s="2" t="str">
        <f>_xlfn.XLOOKUP(C771,customers!$A$1:$A$1001,customers!$G$1:$G$1001,,0)</f>
        <v>United Kingdom</v>
      </c>
      <c r="I771" t="str">
        <f>INDEX(products!$B$1:$B$49,MATCH($D771,products!$A$1:$A$49,0))</f>
        <v>Rob</v>
      </c>
      <c r="J771" t="str">
        <f>INDEX(products!$C$1:$C$49,MATCH($D771,products!$A$1:$A$49,0))</f>
        <v>M</v>
      </c>
      <c r="K771" s="4">
        <f>INDEX(products!$D$1:$D$49,MATCH($D771,products!$A$1:$A$49,0))</f>
        <v>2.5</v>
      </c>
      <c r="L771" s="5">
        <f>INDEX(products!$E$1:$E$49,MATCH($D771,products!$A$1:$A$49,0))</f>
        <v>22.884999999999998</v>
      </c>
      <c r="M771" s="5">
        <f t="shared" ref="M771:M834" si="12">E771*L771</f>
        <v>137.31</v>
      </c>
      <c r="N771" t="str" cm="1">
        <f t="array" ref="N771">_xlfn.IFS(I771="Rob","Robusta",I771="Exc","Excelsa",I771="Ara","Arabica",I771="Lib","Liberica")</f>
        <v>Robusta</v>
      </c>
      <c r="O771" t="str" cm="1">
        <f t="array" ref="O771">_xlfn.SWITCH($J771,"M","Medium","L","Light","D","Dark")</f>
        <v>Medium</v>
      </c>
      <c r="P771" t="str">
        <f>_xlfn.XLOOKUP(Table1[[#This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IF(_xlfn.XLOOKUP(C772,customers!$A$1:$A$1001,customers!$C$1:$C$1001,,0)=0,"Not _Provided",_xlfn.XLOOKUP(C772,customers!$A$1:$A$1001,customers!$C$1:$C$1001,,0))</f>
        <v>mbrimilcombele@cnn.com</v>
      </c>
      <c r="H772" s="2" t="str">
        <f>_xlfn.XLOOKUP(C772,customers!$A$1:$A$1001,customers!$G$1:$G$1001,,0)</f>
        <v>United States</v>
      </c>
      <c r="I772" t="str">
        <f>INDEX(products!$B$1:$B$49,MATCH($D772,products!$A$1:$A$49,0))</f>
        <v>Ara</v>
      </c>
      <c r="J772" t="str">
        <f>INDEX(products!$C$1:$C$49,MATCH($D772,products!$A$1:$A$49,0))</f>
        <v>D</v>
      </c>
      <c r="K772" s="4">
        <f>INDEX(products!$D$1:$D$49,MATCH($D772,products!$A$1:$A$49,0))</f>
        <v>1</v>
      </c>
      <c r="L772" s="5">
        <f>INDEX(products!$E$1:$E$49,MATCH($D772,products!$A$1:$A$49,0))</f>
        <v>9.9499999999999993</v>
      </c>
      <c r="M772" s="5">
        <f t="shared" si="12"/>
        <v>9.9499999999999993</v>
      </c>
      <c r="N772" t="str" cm="1">
        <f t="array" ref="N772">_xlfn.IFS(I772="Rob","Robusta",I772="Exc","Excelsa",I772="Ara","Arabica",I772="Lib","Liberica")</f>
        <v>Arabica</v>
      </c>
      <c r="O772" t="str" cm="1">
        <f t="array" ref="O772">_xlfn.SWITCH($J772,"M","Medium","L","Light","D","Dark")</f>
        <v>Dark</v>
      </c>
      <c r="P772" t="str">
        <f>_xlfn.XLOOKUP(Table1[[#This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IF(_xlfn.XLOOKUP(C773,customers!$A$1:$A$1001,customers!$C$1:$C$1001,,0)=0,"Not _Provided",_xlfn.XLOOKUP(C773,customers!$A$1:$A$1001,customers!$C$1:$C$1001,,0))</f>
        <v>sbollamlf@list-manage.com</v>
      </c>
      <c r="H773" s="2" t="str">
        <f>_xlfn.XLOOKUP(C773,customers!$A$1:$A$1001,customers!$G$1:$G$1001,,0)</f>
        <v>United States</v>
      </c>
      <c r="I773" t="str">
        <f>INDEX(products!$B$1:$B$49,MATCH($D773,products!$A$1:$A$49,0))</f>
        <v>Rob</v>
      </c>
      <c r="J773" t="str">
        <f>INDEX(products!$C$1:$C$49,MATCH($D773,products!$A$1:$A$49,0))</f>
        <v>L</v>
      </c>
      <c r="K773" s="4">
        <f>INDEX(products!$D$1:$D$49,MATCH($D773,products!$A$1:$A$49,0))</f>
        <v>0.5</v>
      </c>
      <c r="L773" s="5">
        <f>INDEX(products!$E$1:$E$49,MATCH($D773,products!$A$1:$A$49,0))</f>
        <v>7.169999999999999</v>
      </c>
      <c r="M773" s="5">
        <f t="shared" si="12"/>
        <v>21.509999999999998</v>
      </c>
      <c r="N773" t="str" cm="1">
        <f t="array" ref="N773">_xlfn.IFS(I773="Rob","Robusta",I773="Exc","Excelsa",I773="Ara","Arabica",I773="Lib","Liberica")</f>
        <v>Robusta</v>
      </c>
      <c r="O773" t="str" cm="1">
        <f t="array" ref="O773">_xlfn.SWITCH($J773,"M","Medium","L","Light","D","Dark")</f>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IF(_xlfn.XLOOKUP(C774,customers!$A$1:$A$1001,customers!$C$1:$C$1001,,0)=0,"Not _Provided",_xlfn.XLOOKUP(C774,customers!$A$1:$A$1001,customers!$C$1:$C$1001,,0))</f>
        <v>Not _Provided</v>
      </c>
      <c r="H774" s="2" t="str">
        <f>_xlfn.XLOOKUP(C774,customers!$A$1:$A$1001,customers!$G$1:$G$1001,,0)</f>
        <v>United States</v>
      </c>
      <c r="I774" t="str">
        <f>INDEX(products!$B$1:$B$49,MATCH($D774,products!$A$1:$A$49,0))</f>
        <v>Exc</v>
      </c>
      <c r="J774" t="str">
        <f>INDEX(products!$C$1:$C$49,MATCH($D774,products!$A$1:$A$49,0))</f>
        <v>M</v>
      </c>
      <c r="K774" s="4">
        <f>INDEX(products!$D$1:$D$49,MATCH($D774,products!$A$1:$A$49,0))</f>
        <v>1</v>
      </c>
      <c r="L774" s="5">
        <f>INDEX(products!$E$1:$E$49,MATCH($D774,products!$A$1:$A$49,0))</f>
        <v>13.75</v>
      </c>
      <c r="M774" s="5">
        <f t="shared" si="12"/>
        <v>82.5</v>
      </c>
      <c r="N774" t="str" cm="1">
        <f t="array" ref="N774">_xlfn.IFS(I774="Rob","Robusta",I774="Exc","Excelsa",I774="Ara","Arabica",I774="Lib","Liberica")</f>
        <v>Excelsa</v>
      </c>
      <c r="O774" t="str" cm="1">
        <f t="array" ref="O774">_xlfn.SWITCH($J774,"M","Medium","L","Light","D","Dark")</f>
        <v>Medium</v>
      </c>
      <c r="P774" t="str">
        <f>_xlfn.XLOOKUP(Table1[[#This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IF(_xlfn.XLOOKUP(C775,customers!$A$1:$A$1001,customers!$C$1:$C$1001,,0)=0,"Not _Provided",_xlfn.XLOOKUP(C775,customers!$A$1:$A$1001,customers!$C$1:$C$1001,,0))</f>
        <v>afilipczaklh@ning.com</v>
      </c>
      <c r="H775" s="2" t="str">
        <f>_xlfn.XLOOKUP(C775,customers!$A$1:$A$1001,customers!$G$1:$G$1001,,0)</f>
        <v>Ireland</v>
      </c>
      <c r="I775" t="str">
        <f>INDEX(products!$B$1:$B$49,MATCH($D775,products!$A$1:$A$49,0))</f>
        <v>Lib</v>
      </c>
      <c r="J775" t="str">
        <f>INDEX(products!$C$1:$C$49,MATCH($D775,products!$A$1:$A$49,0))</f>
        <v>M</v>
      </c>
      <c r="K775" s="4">
        <f>INDEX(products!$D$1:$D$49,MATCH($D775,products!$A$1:$A$49,0))</f>
        <v>0.2</v>
      </c>
      <c r="L775" s="5">
        <f>INDEX(products!$E$1:$E$49,MATCH($D775,products!$A$1:$A$49,0))</f>
        <v>4.3650000000000002</v>
      </c>
      <c r="M775" s="5">
        <f t="shared" si="12"/>
        <v>8.73</v>
      </c>
      <c r="N775" t="str" cm="1">
        <f t="array" ref="N775">_xlfn.IFS(I775="Rob","Robusta",I775="Exc","Excelsa",I775="Ara","Arabica",I775="Lib","Liberica")</f>
        <v>Liberica</v>
      </c>
      <c r="O775" t="str" cm="1">
        <f t="array" ref="O775">_xlfn.SWITCH($J775,"M","Medium","L","Light","D","Dark")</f>
        <v>Medium</v>
      </c>
      <c r="P775" t="str">
        <f>_xlfn.XLOOKUP(Table1[[#This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IF(_xlfn.XLOOKUP(C776,customers!$A$1:$A$1001,customers!$C$1:$C$1001,,0)=0,"Not _Provided",_xlfn.XLOOKUP(C776,customers!$A$1:$A$1001,customers!$C$1:$C$1001,,0))</f>
        <v>Not _Provided</v>
      </c>
      <c r="H776" s="2" t="str">
        <f>_xlfn.XLOOKUP(C776,customers!$A$1:$A$1001,customers!$G$1:$G$1001,,0)</f>
        <v>United States</v>
      </c>
      <c r="I776" t="str">
        <f>INDEX(products!$B$1:$B$49,MATCH($D776,products!$A$1:$A$49,0))</f>
        <v>Rob</v>
      </c>
      <c r="J776" t="str">
        <f>INDEX(products!$C$1:$C$49,MATCH($D776,products!$A$1:$A$49,0))</f>
        <v>M</v>
      </c>
      <c r="K776" s="4">
        <f>INDEX(products!$D$1:$D$49,MATCH($D776,products!$A$1:$A$49,0))</f>
        <v>1</v>
      </c>
      <c r="L776" s="5">
        <f>INDEX(products!$E$1:$E$49,MATCH($D776,products!$A$1:$A$49,0))</f>
        <v>9.9499999999999993</v>
      </c>
      <c r="M776" s="5">
        <f t="shared" si="12"/>
        <v>19.899999999999999</v>
      </c>
      <c r="N776" t="str" cm="1">
        <f t="array" ref="N776">_xlfn.IFS(I776="Rob","Robusta",I776="Exc","Excelsa",I776="Ara","Arabica",I776="Lib","Liberica")</f>
        <v>Robusta</v>
      </c>
      <c r="O776" t="str" cm="1">
        <f t="array" ref="O776">_xlfn.SWITCH($J776,"M","Medium","L","Light","D","Dark")</f>
        <v>Medium</v>
      </c>
      <c r="P776" t="str">
        <f>_xlfn.XLOOKUP(Table1[[#This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IF(_xlfn.XLOOKUP(C777,customers!$A$1:$A$1001,customers!$C$1:$C$1001,,0)=0,"Not _Provided",_xlfn.XLOOKUP(C777,customers!$A$1:$A$1001,customers!$C$1:$C$1001,,0))</f>
        <v>relnaughlj@comsenz.com</v>
      </c>
      <c r="H777" s="2" t="str">
        <f>_xlfn.XLOOKUP(C777,customers!$A$1:$A$1001,customers!$G$1:$G$1001,,0)</f>
        <v>United States</v>
      </c>
      <c r="I777" t="str">
        <f>INDEX(products!$B$1:$B$49,MATCH($D777,products!$A$1:$A$49,0))</f>
        <v>Exc</v>
      </c>
      <c r="J777" t="str">
        <f>INDEX(products!$C$1:$C$49,MATCH($D777,products!$A$1:$A$49,0))</f>
        <v>L</v>
      </c>
      <c r="K777" s="4">
        <f>INDEX(products!$D$1:$D$49,MATCH($D777,products!$A$1:$A$49,0))</f>
        <v>0.5</v>
      </c>
      <c r="L777" s="5">
        <f>INDEX(products!$E$1:$E$49,MATCH($D777,products!$A$1:$A$49,0))</f>
        <v>8.91</v>
      </c>
      <c r="M777" s="5">
        <f t="shared" si="12"/>
        <v>17.82</v>
      </c>
      <c r="N777" t="str" cm="1">
        <f t="array" ref="N777">_xlfn.IFS(I777="Rob","Robusta",I777="Exc","Excelsa",I777="Ara","Arabica",I777="Lib","Liberica")</f>
        <v>Excelsa</v>
      </c>
      <c r="O777" t="str" cm="1">
        <f t="array" ref="O777">_xlfn.SWITCH($J777,"M","Medium","L","Light","D","Dark")</f>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IF(_xlfn.XLOOKUP(C778,customers!$A$1:$A$1001,customers!$C$1:$C$1001,,0)=0,"Not _Provided",_xlfn.XLOOKUP(C778,customers!$A$1:$A$1001,customers!$C$1:$C$1001,,0))</f>
        <v>jdeehanlk@about.me</v>
      </c>
      <c r="H778" s="2" t="str">
        <f>_xlfn.XLOOKUP(C778,customers!$A$1:$A$1001,customers!$G$1:$G$1001,,0)</f>
        <v>United States</v>
      </c>
      <c r="I778" t="str">
        <f>INDEX(products!$B$1:$B$49,MATCH($D778,products!$A$1:$A$49,0))</f>
        <v>Ara</v>
      </c>
      <c r="J778" t="str">
        <f>INDEX(products!$C$1:$C$49,MATCH($D778,products!$A$1:$A$49,0))</f>
        <v>M</v>
      </c>
      <c r="K778" s="4">
        <f>INDEX(products!$D$1:$D$49,MATCH($D778,products!$A$1:$A$49,0))</f>
        <v>0.5</v>
      </c>
      <c r="L778" s="5">
        <f>INDEX(products!$E$1:$E$49,MATCH($D778,products!$A$1:$A$49,0))</f>
        <v>6.75</v>
      </c>
      <c r="M778" s="5">
        <f t="shared" si="12"/>
        <v>20.25</v>
      </c>
      <c r="N778" t="str" cm="1">
        <f t="array" ref="N778">_xlfn.IFS(I778="Rob","Robusta",I778="Exc","Excelsa",I778="Ara","Arabica",I778="Lib","Liberica")</f>
        <v>Arabica</v>
      </c>
      <c r="O778" t="str" cm="1">
        <f t="array" ref="O778">_xlfn.SWITCH($J778,"M","Medium","L","Light","D","Dark")</f>
        <v>Medium</v>
      </c>
      <c r="P778" t="str">
        <f>_xlfn.XLOOKUP(Table1[[#This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IF(_xlfn.XLOOKUP(C779,customers!$A$1:$A$1001,customers!$C$1:$C$1001,,0)=0,"Not _Provided",_xlfn.XLOOKUP(C779,customers!$A$1:$A$1001,customers!$C$1:$C$1001,,0))</f>
        <v>jedenll@e-recht24.de</v>
      </c>
      <c r="H779" s="2" t="str">
        <f>_xlfn.XLOOKUP(C779,customers!$A$1:$A$1001,customers!$G$1:$G$1001,,0)</f>
        <v>United States</v>
      </c>
      <c r="I779" t="str">
        <f>INDEX(products!$B$1:$B$49,MATCH($D779,products!$A$1:$A$49,0))</f>
        <v>Ara</v>
      </c>
      <c r="J779" t="str">
        <f>INDEX(products!$C$1:$C$49,MATCH($D779,products!$A$1:$A$49,0))</f>
        <v>L</v>
      </c>
      <c r="K779" s="4">
        <f>INDEX(products!$D$1:$D$49,MATCH($D779,products!$A$1:$A$49,0))</f>
        <v>2.5</v>
      </c>
      <c r="L779" s="5">
        <f>INDEX(products!$E$1:$E$49,MATCH($D779,products!$A$1:$A$49,0))</f>
        <v>29.784999999999997</v>
      </c>
      <c r="M779" s="5">
        <f t="shared" si="12"/>
        <v>59.569999999999993</v>
      </c>
      <c r="N779" t="str" cm="1">
        <f t="array" ref="N779">_xlfn.IFS(I779="Rob","Robusta",I779="Exc","Excelsa",I779="Ara","Arabica",I779="Lib","Liberica")</f>
        <v>Arabica</v>
      </c>
      <c r="O779" t="str" cm="1">
        <f t="array" ref="O779">_xlfn.SWITCH($J779,"M","Medium","L","Light","D","Dark")</f>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IF(_xlfn.XLOOKUP(C780,customers!$A$1:$A$1001,customers!$C$1:$C$1001,,0)=0,"Not _Provided",_xlfn.XLOOKUP(C780,customers!$A$1:$A$1001,customers!$C$1:$C$1001,,0))</f>
        <v>cjewsterlu@moonfruit.com</v>
      </c>
      <c r="H780" s="2" t="str">
        <f>_xlfn.XLOOKUP(C780,customers!$A$1:$A$1001,customers!$G$1:$G$1001,,0)</f>
        <v>United States</v>
      </c>
      <c r="I780" t="str">
        <f>INDEX(products!$B$1:$B$49,MATCH($D780,products!$A$1:$A$49,0))</f>
        <v>Lib</v>
      </c>
      <c r="J780" t="str">
        <f>INDEX(products!$C$1:$C$49,MATCH($D780,products!$A$1:$A$49,0))</f>
        <v>L</v>
      </c>
      <c r="K780" s="4">
        <f>INDEX(products!$D$1:$D$49,MATCH($D780,products!$A$1:$A$49,0))</f>
        <v>0.5</v>
      </c>
      <c r="L780" s="5">
        <f>INDEX(products!$E$1:$E$49,MATCH($D780,products!$A$1:$A$49,0))</f>
        <v>9.51</v>
      </c>
      <c r="M780" s="5">
        <f t="shared" si="12"/>
        <v>19.02</v>
      </c>
      <c r="N780" t="str" cm="1">
        <f t="array" ref="N780">_xlfn.IFS(I780="Rob","Robusta",I780="Exc","Excelsa",I780="Ara","Arabica",I780="Lib","Liberica")</f>
        <v>Liberica</v>
      </c>
      <c r="O780" t="str" cm="1">
        <f t="array" ref="O780">_xlfn.SWITCH($J780,"M","Medium","L","Light","D","Dark")</f>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IF(_xlfn.XLOOKUP(C781,customers!$A$1:$A$1001,customers!$C$1:$C$1001,,0)=0,"Not _Provided",_xlfn.XLOOKUP(C781,customers!$A$1:$A$1001,customers!$C$1:$C$1001,,0))</f>
        <v>usoutherdenln@hao123.com</v>
      </c>
      <c r="H781" s="2" t="str">
        <f>_xlfn.XLOOKUP(C781,customers!$A$1:$A$1001,customers!$G$1:$G$1001,,0)</f>
        <v>United States</v>
      </c>
      <c r="I781" t="str">
        <f>INDEX(products!$B$1:$B$49,MATCH($D781,products!$A$1:$A$49,0))</f>
        <v>Lib</v>
      </c>
      <c r="J781" t="str">
        <f>INDEX(products!$C$1:$C$49,MATCH($D781,products!$A$1:$A$49,0))</f>
        <v>D</v>
      </c>
      <c r="K781" s="4">
        <f>INDEX(products!$D$1:$D$49,MATCH($D781,products!$A$1:$A$49,0))</f>
        <v>1</v>
      </c>
      <c r="L781" s="5">
        <f>INDEX(products!$E$1:$E$49,MATCH($D781,products!$A$1:$A$49,0))</f>
        <v>12.95</v>
      </c>
      <c r="M781" s="5">
        <f t="shared" si="12"/>
        <v>77.699999999999989</v>
      </c>
      <c r="N781" t="str" cm="1">
        <f t="array" ref="N781">_xlfn.IFS(I781="Rob","Robusta",I781="Exc","Excelsa",I781="Ara","Arabica",I781="Lib","Liberica")</f>
        <v>Liberica</v>
      </c>
      <c r="O781" t="str" cm="1">
        <f t="array" ref="O781">_xlfn.SWITCH($J781,"M","Medium","L","Light","D","Dark")</f>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IF(_xlfn.XLOOKUP(C782,customers!$A$1:$A$1001,customers!$C$1:$C$1001,,0)=0,"Not _Provided",_xlfn.XLOOKUP(C782,customers!$A$1:$A$1001,customers!$C$1:$C$1001,,0))</f>
        <v>Not _Provided</v>
      </c>
      <c r="H782" s="2" t="str">
        <f>_xlfn.XLOOKUP(C782,customers!$A$1:$A$1001,customers!$G$1:$G$1001,,0)</f>
        <v>United States</v>
      </c>
      <c r="I782" t="str">
        <f>INDEX(products!$B$1:$B$49,MATCH($D782,products!$A$1:$A$49,0))</f>
        <v>Exc</v>
      </c>
      <c r="J782" t="str">
        <f>INDEX(products!$C$1:$C$49,MATCH($D782,products!$A$1:$A$49,0))</f>
        <v>M</v>
      </c>
      <c r="K782" s="4">
        <f>INDEX(products!$D$1:$D$49,MATCH($D782,products!$A$1:$A$49,0))</f>
        <v>1</v>
      </c>
      <c r="L782" s="5">
        <f>INDEX(products!$E$1:$E$49,MATCH($D782,products!$A$1:$A$49,0))</f>
        <v>13.75</v>
      </c>
      <c r="M782" s="5">
        <f t="shared" si="12"/>
        <v>41.25</v>
      </c>
      <c r="N782" t="str" cm="1">
        <f t="array" ref="N782">_xlfn.IFS(I782="Rob","Robusta",I782="Exc","Excelsa",I782="Ara","Arabica",I782="Lib","Liberica")</f>
        <v>Excelsa</v>
      </c>
      <c r="O782" t="str" cm="1">
        <f t="array" ref="O782">_xlfn.SWITCH($J782,"M","Medium","L","Light","D","Dark")</f>
        <v>Medium</v>
      </c>
      <c r="P782" t="str">
        <f>_xlfn.XLOOKUP(Table1[[#This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IF(_xlfn.XLOOKUP(C783,customers!$A$1:$A$1001,customers!$C$1:$C$1001,,0)=0,"Not _Provided",_xlfn.XLOOKUP(C783,customers!$A$1:$A$1001,customers!$C$1:$C$1001,,0))</f>
        <v>lburtenshawlp@shinystat.com</v>
      </c>
      <c r="H783" s="2" t="str">
        <f>_xlfn.XLOOKUP(C783,customers!$A$1:$A$1001,customers!$G$1:$G$1001,,0)</f>
        <v>United States</v>
      </c>
      <c r="I783" t="str">
        <f>INDEX(products!$B$1:$B$49,MATCH($D783,products!$A$1:$A$49,0))</f>
        <v>Lib</v>
      </c>
      <c r="J783" t="str">
        <f>INDEX(products!$C$1:$C$49,MATCH($D783,products!$A$1:$A$49,0))</f>
        <v>L</v>
      </c>
      <c r="K783" s="4">
        <f>INDEX(products!$D$1:$D$49,MATCH($D783,products!$A$1:$A$49,0))</f>
        <v>2.5</v>
      </c>
      <c r="L783" s="5">
        <f>INDEX(products!$E$1:$E$49,MATCH($D783,products!$A$1:$A$49,0))</f>
        <v>36.454999999999998</v>
      </c>
      <c r="M783" s="5">
        <f t="shared" si="12"/>
        <v>145.82</v>
      </c>
      <c r="N783" t="str" cm="1">
        <f t="array" ref="N783">_xlfn.IFS(I783="Rob","Robusta",I783="Exc","Excelsa",I783="Ara","Arabica",I783="Lib","Liberica")</f>
        <v>Liberica</v>
      </c>
      <c r="O783" t="str" cm="1">
        <f t="array" ref="O783">_xlfn.SWITCH($J783,"M","Medium","L","Light","D","Dark")</f>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IF(_xlfn.XLOOKUP(C784,customers!$A$1:$A$1001,customers!$C$1:$C$1001,,0)=0,"Not _Provided",_xlfn.XLOOKUP(C784,customers!$A$1:$A$1001,customers!$C$1:$C$1001,,0))</f>
        <v>agregorattilq@vistaprint.com</v>
      </c>
      <c r="H784" s="2" t="str">
        <f>_xlfn.XLOOKUP(C784,customers!$A$1:$A$1001,customers!$G$1:$G$1001,,0)</f>
        <v>Ireland</v>
      </c>
      <c r="I784" t="str">
        <f>INDEX(products!$B$1:$B$49,MATCH($D784,products!$A$1:$A$49,0))</f>
        <v>Exc</v>
      </c>
      <c r="J784" t="str">
        <f>INDEX(products!$C$1:$C$49,MATCH($D784,products!$A$1:$A$49,0))</f>
        <v>L</v>
      </c>
      <c r="K784" s="4">
        <f>INDEX(products!$D$1:$D$49,MATCH($D784,products!$A$1:$A$49,0))</f>
        <v>0.2</v>
      </c>
      <c r="L784" s="5">
        <f>INDEX(products!$E$1:$E$49,MATCH($D784,products!$A$1:$A$49,0))</f>
        <v>4.4550000000000001</v>
      </c>
      <c r="M784" s="5">
        <f t="shared" si="12"/>
        <v>26.73</v>
      </c>
      <c r="N784" t="str" cm="1">
        <f t="array" ref="N784">_xlfn.IFS(I784="Rob","Robusta",I784="Exc","Excelsa",I784="Ara","Arabica",I784="Lib","Liberica")</f>
        <v>Excelsa</v>
      </c>
      <c r="O784" t="str" cm="1">
        <f t="array" ref="O784">_xlfn.SWITCH($J784,"M","Medium","L","Light","D","Dark")</f>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IF(_xlfn.XLOOKUP(C785,customers!$A$1:$A$1001,customers!$C$1:$C$1001,,0)=0,"Not _Provided",_xlfn.XLOOKUP(C785,customers!$A$1:$A$1001,customers!$C$1:$C$1001,,0))</f>
        <v>ccrosterlr@gov.uk</v>
      </c>
      <c r="H785" s="2" t="str">
        <f>_xlfn.XLOOKUP(C785,customers!$A$1:$A$1001,customers!$G$1:$G$1001,,0)</f>
        <v>United States</v>
      </c>
      <c r="I785" t="str">
        <f>INDEX(products!$B$1:$B$49,MATCH($D785,products!$A$1:$A$49,0))</f>
        <v>Lib</v>
      </c>
      <c r="J785" t="str">
        <f>INDEX(products!$C$1:$C$49,MATCH($D785,products!$A$1:$A$49,0))</f>
        <v>M</v>
      </c>
      <c r="K785" s="4">
        <f>INDEX(products!$D$1:$D$49,MATCH($D785,products!$A$1:$A$49,0))</f>
        <v>0.5</v>
      </c>
      <c r="L785" s="5">
        <f>INDEX(products!$E$1:$E$49,MATCH($D785,products!$A$1:$A$49,0))</f>
        <v>8.73</v>
      </c>
      <c r="M785" s="5">
        <f t="shared" si="12"/>
        <v>43.650000000000006</v>
      </c>
      <c r="N785" t="str" cm="1">
        <f t="array" ref="N785">_xlfn.IFS(I785="Rob","Robusta",I785="Exc","Excelsa",I785="Ara","Arabica",I785="Lib","Liberica")</f>
        <v>Liberica</v>
      </c>
      <c r="O785" t="str" cm="1">
        <f t="array" ref="O785">_xlfn.SWITCH($J785,"M","Medium","L","Light","D","Dark")</f>
        <v>Medium</v>
      </c>
      <c r="P785" t="str">
        <f>_xlfn.XLOOKUP(Table1[[#This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IF(_xlfn.XLOOKUP(C786,customers!$A$1:$A$1001,customers!$C$1:$C$1001,,0)=0,"Not _Provided",_xlfn.XLOOKUP(C786,customers!$A$1:$A$1001,customers!$C$1:$C$1001,,0))</f>
        <v>gwhiteheadls@hp.com</v>
      </c>
      <c r="H786" s="2" t="str">
        <f>_xlfn.XLOOKUP(C786,customers!$A$1:$A$1001,customers!$G$1:$G$1001,,0)</f>
        <v>United States</v>
      </c>
      <c r="I786" t="str">
        <f>INDEX(products!$B$1:$B$49,MATCH($D786,products!$A$1:$A$49,0))</f>
        <v>Lib</v>
      </c>
      <c r="J786" t="str">
        <f>INDEX(products!$C$1:$C$49,MATCH($D786,products!$A$1:$A$49,0))</f>
        <v>L</v>
      </c>
      <c r="K786" s="4">
        <f>INDEX(products!$D$1:$D$49,MATCH($D786,products!$A$1:$A$49,0))</f>
        <v>1</v>
      </c>
      <c r="L786" s="5">
        <f>INDEX(products!$E$1:$E$49,MATCH($D786,products!$A$1:$A$49,0))</f>
        <v>15.85</v>
      </c>
      <c r="M786" s="5">
        <f t="shared" si="12"/>
        <v>31.7</v>
      </c>
      <c r="N786" t="str" cm="1">
        <f t="array" ref="N786">_xlfn.IFS(I786="Rob","Robusta",I786="Exc","Excelsa",I786="Ara","Arabica",I786="Lib","Liberica")</f>
        <v>Liberica</v>
      </c>
      <c r="O786" t="str" cm="1">
        <f t="array" ref="O786">_xlfn.SWITCH($J786,"M","Medium","L","Light","D","Dark")</f>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IF(_xlfn.XLOOKUP(C787,customers!$A$1:$A$1001,customers!$C$1:$C$1001,,0)=0,"Not _Provided",_xlfn.XLOOKUP(C787,customers!$A$1:$A$1001,customers!$C$1:$C$1001,,0))</f>
        <v>hjodrellelt@samsung.com</v>
      </c>
      <c r="H787" s="2" t="str">
        <f>_xlfn.XLOOKUP(C787,customers!$A$1:$A$1001,customers!$G$1:$G$1001,,0)</f>
        <v>United States</v>
      </c>
      <c r="I787" t="str">
        <f>INDEX(products!$B$1:$B$49,MATCH($D787,products!$A$1:$A$49,0))</f>
        <v>Ara</v>
      </c>
      <c r="J787" t="str">
        <f>INDEX(products!$C$1:$C$49,MATCH($D787,products!$A$1:$A$49,0))</f>
        <v>D</v>
      </c>
      <c r="K787" s="4">
        <f>INDEX(products!$D$1:$D$49,MATCH($D787,products!$A$1:$A$49,0))</f>
        <v>2.5</v>
      </c>
      <c r="L787" s="5">
        <f>INDEX(products!$E$1:$E$49,MATCH($D787,products!$A$1:$A$49,0))</f>
        <v>22.884999999999998</v>
      </c>
      <c r="M787" s="5">
        <f t="shared" si="12"/>
        <v>22.884999999999998</v>
      </c>
      <c r="N787" t="str" cm="1">
        <f t="array" ref="N787">_xlfn.IFS(I787="Rob","Robusta",I787="Exc","Excelsa",I787="Ara","Arabica",I787="Lib","Liberica")</f>
        <v>Arabica</v>
      </c>
      <c r="O787" t="str" cm="1">
        <f t="array" ref="O787">_xlfn.SWITCH($J787,"M","Medium","L","Light","D","Dark")</f>
        <v>Dark</v>
      </c>
      <c r="P787" t="str">
        <f>_xlfn.XLOOKUP(Table1[[#This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IF(_xlfn.XLOOKUP(C788,customers!$A$1:$A$1001,customers!$C$1:$C$1001,,0)=0,"Not _Provided",_xlfn.XLOOKUP(C788,customers!$A$1:$A$1001,customers!$C$1:$C$1001,,0))</f>
        <v>cjewsterlu@moonfruit.com</v>
      </c>
      <c r="H788" s="2" t="str">
        <f>_xlfn.XLOOKUP(C788,customers!$A$1:$A$1001,customers!$G$1:$G$1001,,0)</f>
        <v>United States</v>
      </c>
      <c r="I788" t="str">
        <f>INDEX(products!$B$1:$B$49,MATCH($D788,products!$A$1:$A$49,0))</f>
        <v>Exc</v>
      </c>
      <c r="J788" t="str">
        <f>INDEX(products!$C$1:$C$49,MATCH($D788,products!$A$1:$A$49,0))</f>
        <v>D</v>
      </c>
      <c r="K788" s="4">
        <f>INDEX(products!$D$1:$D$49,MATCH($D788,products!$A$1:$A$49,0))</f>
        <v>2.5</v>
      </c>
      <c r="L788" s="5">
        <f>INDEX(products!$E$1:$E$49,MATCH($D788,products!$A$1:$A$49,0))</f>
        <v>27.945</v>
      </c>
      <c r="M788" s="5">
        <f t="shared" si="12"/>
        <v>27.945</v>
      </c>
      <c r="N788" t="str" cm="1">
        <f t="array" ref="N788">_xlfn.IFS(I788="Rob","Robusta",I788="Exc","Excelsa",I788="Ara","Arabica",I788="Lib","Liberica")</f>
        <v>Excelsa</v>
      </c>
      <c r="O788" t="str" cm="1">
        <f t="array" ref="O788">_xlfn.SWITCH($J788,"M","Medium","L","Light","D","Dark")</f>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IF(_xlfn.XLOOKUP(C789,customers!$A$1:$A$1001,customers!$C$1:$C$1001,,0)=0,"Not _Provided",_xlfn.XLOOKUP(C789,customers!$A$1:$A$1001,customers!$C$1:$C$1001,,0))</f>
        <v>Not _Provided</v>
      </c>
      <c r="H789" s="2" t="str">
        <f>_xlfn.XLOOKUP(C789,customers!$A$1:$A$1001,customers!$G$1:$G$1001,,0)</f>
        <v>United States</v>
      </c>
      <c r="I789" t="str">
        <f>INDEX(products!$B$1:$B$49,MATCH($D789,products!$A$1:$A$49,0))</f>
        <v>Exc</v>
      </c>
      <c r="J789" t="str">
        <f>INDEX(products!$C$1:$C$49,MATCH($D789,products!$A$1:$A$49,0))</f>
        <v>M</v>
      </c>
      <c r="K789" s="4">
        <f>INDEX(products!$D$1:$D$49,MATCH($D789,products!$A$1:$A$49,0))</f>
        <v>1</v>
      </c>
      <c r="L789" s="5">
        <f>INDEX(products!$E$1:$E$49,MATCH($D789,products!$A$1:$A$49,0))</f>
        <v>13.75</v>
      </c>
      <c r="M789" s="5">
        <f t="shared" si="12"/>
        <v>82.5</v>
      </c>
      <c r="N789" t="str" cm="1">
        <f t="array" ref="N789">_xlfn.IFS(I789="Rob","Robusta",I789="Exc","Excelsa",I789="Ara","Arabica",I789="Lib","Liberica")</f>
        <v>Excelsa</v>
      </c>
      <c r="O789" t="str" cm="1">
        <f t="array" ref="O789">_xlfn.SWITCH($J789,"M","Medium","L","Light","D","Dark")</f>
        <v>Medium</v>
      </c>
      <c r="P789" t="str">
        <f>_xlfn.XLOOKUP(Table1[[#This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IF(_xlfn.XLOOKUP(C790,customers!$A$1:$A$1001,customers!$C$1:$C$1001,,0)=0,"Not _Provided",_xlfn.XLOOKUP(C790,customers!$A$1:$A$1001,customers!$C$1:$C$1001,,0))</f>
        <v>knottramlw@odnoklassniki.ru</v>
      </c>
      <c r="H790" s="2" t="str">
        <f>_xlfn.XLOOKUP(C790,customers!$A$1:$A$1001,customers!$G$1:$G$1001,,0)</f>
        <v>Ireland</v>
      </c>
      <c r="I790" t="str">
        <f>INDEX(products!$B$1:$B$49,MATCH($D790,products!$A$1:$A$49,0))</f>
        <v>Rob</v>
      </c>
      <c r="J790" t="str">
        <f>INDEX(products!$C$1:$C$49,MATCH($D790,products!$A$1:$A$49,0))</f>
        <v>M</v>
      </c>
      <c r="K790" s="4">
        <f>INDEX(products!$D$1:$D$49,MATCH($D790,products!$A$1:$A$49,0))</f>
        <v>2.5</v>
      </c>
      <c r="L790" s="5">
        <f>INDEX(products!$E$1:$E$49,MATCH($D790,products!$A$1:$A$49,0))</f>
        <v>22.884999999999998</v>
      </c>
      <c r="M790" s="5">
        <f t="shared" si="12"/>
        <v>45.769999999999996</v>
      </c>
      <c r="N790" t="str" cm="1">
        <f t="array" ref="N790">_xlfn.IFS(I790="Rob","Robusta",I790="Exc","Excelsa",I790="Ara","Arabica",I790="Lib","Liberica")</f>
        <v>Robusta</v>
      </c>
      <c r="O790" t="str" cm="1">
        <f t="array" ref="O790">_xlfn.SWITCH($J790,"M","Medium","L","Light","D","Dark")</f>
        <v>Medium</v>
      </c>
      <c r="P790" t="str">
        <f>_xlfn.XLOOKUP(Table1[[#This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IF(_xlfn.XLOOKUP(C791,customers!$A$1:$A$1001,customers!$C$1:$C$1001,,0)=0,"Not _Provided",_xlfn.XLOOKUP(C791,customers!$A$1:$A$1001,customers!$C$1:$C$1001,,0))</f>
        <v>nbuneylx@jugem.jp</v>
      </c>
      <c r="H791" s="2" t="str">
        <f>_xlfn.XLOOKUP(C791,customers!$A$1:$A$1001,customers!$G$1:$G$1001,,0)</f>
        <v>United States</v>
      </c>
      <c r="I791" t="str">
        <f>INDEX(products!$B$1:$B$49,MATCH($D791,products!$A$1:$A$49,0))</f>
        <v>Ara</v>
      </c>
      <c r="J791" t="str">
        <f>INDEX(products!$C$1:$C$49,MATCH($D791,products!$A$1:$A$49,0))</f>
        <v>L</v>
      </c>
      <c r="K791" s="4">
        <f>INDEX(products!$D$1:$D$49,MATCH($D791,products!$A$1:$A$49,0))</f>
        <v>1</v>
      </c>
      <c r="L791" s="5">
        <f>INDEX(products!$E$1:$E$49,MATCH($D791,products!$A$1:$A$49,0))</f>
        <v>12.95</v>
      </c>
      <c r="M791" s="5">
        <f t="shared" si="12"/>
        <v>77.699999999999989</v>
      </c>
      <c r="N791" t="str" cm="1">
        <f t="array" ref="N791">_xlfn.IFS(I791="Rob","Robusta",I791="Exc","Excelsa",I791="Ara","Arabica",I791="Lib","Liberica")</f>
        <v>Arabica</v>
      </c>
      <c r="O791" t="str" cm="1">
        <f t="array" ref="O791">_xlfn.SWITCH($J791,"M","Medium","L","Light","D","Dark")</f>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IF(_xlfn.XLOOKUP(C792,customers!$A$1:$A$1001,customers!$C$1:$C$1001,,0)=0,"Not _Provided",_xlfn.XLOOKUP(C792,customers!$A$1:$A$1001,customers!$C$1:$C$1001,,0))</f>
        <v>smcshealy@photobucket.com</v>
      </c>
      <c r="H792" s="2" t="str">
        <f>_xlfn.XLOOKUP(C792,customers!$A$1:$A$1001,customers!$G$1:$G$1001,,0)</f>
        <v>United States</v>
      </c>
      <c r="I792" t="str">
        <f>INDEX(products!$B$1:$B$49,MATCH($D792,products!$A$1:$A$49,0))</f>
        <v>Ara</v>
      </c>
      <c r="J792" t="str">
        <f>INDEX(products!$C$1:$C$49,MATCH($D792,products!$A$1:$A$49,0))</f>
        <v>L</v>
      </c>
      <c r="K792" s="4">
        <f>INDEX(products!$D$1:$D$49,MATCH($D792,products!$A$1:$A$49,0))</f>
        <v>0.5</v>
      </c>
      <c r="L792" s="5">
        <f>INDEX(products!$E$1:$E$49,MATCH($D792,products!$A$1:$A$49,0))</f>
        <v>7.77</v>
      </c>
      <c r="M792" s="5">
        <f t="shared" si="12"/>
        <v>23.31</v>
      </c>
      <c r="N792" t="str" cm="1">
        <f t="array" ref="N792">_xlfn.IFS(I792="Rob","Robusta",I792="Exc","Excelsa",I792="Ara","Arabica",I792="Lib","Liberica")</f>
        <v>Arabica</v>
      </c>
      <c r="O792" t="str" cm="1">
        <f t="array" ref="O792">_xlfn.SWITCH($J792,"M","Medium","L","Light","D","Dark")</f>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IF(_xlfn.XLOOKUP(C793,customers!$A$1:$A$1001,customers!$C$1:$C$1001,,0)=0,"Not _Provided",_xlfn.XLOOKUP(C793,customers!$A$1:$A$1001,customers!$C$1:$C$1001,,0))</f>
        <v>khuddartlz@about.com</v>
      </c>
      <c r="H793" s="2" t="str">
        <f>_xlfn.XLOOKUP(C793,customers!$A$1:$A$1001,customers!$G$1:$G$1001,,0)</f>
        <v>United States</v>
      </c>
      <c r="I793" t="str">
        <f>INDEX(products!$B$1:$B$49,MATCH($D793,products!$A$1:$A$49,0))</f>
        <v>Lib</v>
      </c>
      <c r="J793" t="str">
        <f>INDEX(products!$C$1:$C$49,MATCH($D793,products!$A$1:$A$49,0))</f>
        <v>L</v>
      </c>
      <c r="K793" s="4">
        <f>INDEX(products!$D$1:$D$49,MATCH($D793,products!$A$1:$A$49,0))</f>
        <v>0.2</v>
      </c>
      <c r="L793" s="5">
        <f>INDEX(products!$E$1:$E$49,MATCH($D793,products!$A$1:$A$49,0))</f>
        <v>4.7549999999999999</v>
      </c>
      <c r="M793" s="5">
        <f t="shared" si="12"/>
        <v>23.774999999999999</v>
      </c>
      <c r="N793" t="str" cm="1">
        <f t="array" ref="N793">_xlfn.IFS(I793="Rob","Robusta",I793="Exc","Excelsa",I793="Ara","Arabica",I793="Lib","Liberica")</f>
        <v>Liberica</v>
      </c>
      <c r="O793" t="str" cm="1">
        <f t="array" ref="O793">_xlfn.SWITCH($J793,"M","Medium","L","Light","D","Dark")</f>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IF(_xlfn.XLOOKUP(C794,customers!$A$1:$A$1001,customers!$C$1:$C$1001,,0)=0,"Not _Provided",_xlfn.XLOOKUP(C794,customers!$A$1:$A$1001,customers!$C$1:$C$1001,,0))</f>
        <v>jgippesm0@cloudflare.com</v>
      </c>
      <c r="H794" s="2" t="str">
        <f>_xlfn.XLOOKUP(C794,customers!$A$1:$A$1001,customers!$G$1:$G$1001,,0)</f>
        <v>United Kingdom</v>
      </c>
      <c r="I794" t="str">
        <f>INDEX(products!$B$1:$B$49,MATCH($D794,products!$A$1:$A$49,0))</f>
        <v>Lib</v>
      </c>
      <c r="J794" t="str">
        <f>INDEX(products!$C$1:$C$49,MATCH($D794,products!$A$1:$A$49,0))</f>
        <v>M</v>
      </c>
      <c r="K794" s="4">
        <f>INDEX(products!$D$1:$D$49,MATCH($D794,products!$A$1:$A$49,0))</f>
        <v>0.5</v>
      </c>
      <c r="L794" s="5">
        <f>INDEX(products!$E$1:$E$49,MATCH($D794,products!$A$1:$A$49,0))</f>
        <v>8.73</v>
      </c>
      <c r="M794" s="5">
        <f t="shared" si="12"/>
        <v>52.38</v>
      </c>
      <c r="N794" t="str" cm="1">
        <f t="array" ref="N794">_xlfn.IFS(I794="Rob","Robusta",I794="Exc","Excelsa",I794="Ara","Arabica",I794="Lib","Liberica")</f>
        <v>Liberica</v>
      </c>
      <c r="O794" t="str" cm="1">
        <f t="array" ref="O794">_xlfn.SWITCH($J794,"M","Medium","L","Light","D","Dark")</f>
        <v>Medium</v>
      </c>
      <c r="P794" t="str">
        <f>_xlfn.XLOOKUP(Table1[[#This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IF(_xlfn.XLOOKUP(C795,customers!$A$1:$A$1001,customers!$C$1:$C$1001,,0)=0,"Not _Provided",_xlfn.XLOOKUP(C795,customers!$A$1:$A$1001,customers!$C$1:$C$1001,,0))</f>
        <v>lwhittleseem1@e-recht24.de</v>
      </c>
      <c r="H795" s="2" t="str">
        <f>_xlfn.XLOOKUP(C795,customers!$A$1:$A$1001,customers!$G$1:$G$1001,,0)</f>
        <v>United States</v>
      </c>
      <c r="I795" t="str">
        <f>INDEX(products!$B$1:$B$49,MATCH($D795,products!$A$1:$A$49,0))</f>
        <v>Rob</v>
      </c>
      <c r="J795" t="str">
        <f>INDEX(products!$C$1:$C$49,MATCH($D795,products!$A$1:$A$49,0))</f>
        <v>L</v>
      </c>
      <c r="K795" s="4">
        <f>INDEX(products!$D$1:$D$49,MATCH($D795,products!$A$1:$A$49,0))</f>
        <v>0.2</v>
      </c>
      <c r="L795" s="5">
        <f>INDEX(products!$E$1:$E$49,MATCH($D795,products!$A$1:$A$49,0))</f>
        <v>3.5849999999999995</v>
      </c>
      <c r="M795" s="5">
        <f t="shared" si="12"/>
        <v>17.924999999999997</v>
      </c>
      <c r="N795" t="str" cm="1">
        <f t="array" ref="N795">_xlfn.IFS(I795="Rob","Robusta",I795="Exc","Excelsa",I795="Ara","Arabica",I795="Lib","Liberica")</f>
        <v>Robusta</v>
      </c>
      <c r="O795" t="str" cm="1">
        <f t="array" ref="O795">_xlfn.SWITCH($J795,"M","Medium","L","Light","D","Dark")</f>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IF(_xlfn.XLOOKUP(C796,customers!$A$1:$A$1001,customers!$C$1:$C$1001,,0)=0,"Not _Provided",_xlfn.XLOOKUP(C796,customers!$A$1:$A$1001,customers!$C$1:$C$1001,,0))</f>
        <v>gtrengrovem2@elpais.com</v>
      </c>
      <c r="H796" s="2" t="str">
        <f>_xlfn.XLOOKUP(C796,customers!$A$1:$A$1001,customers!$G$1:$G$1001,,0)</f>
        <v>United States</v>
      </c>
      <c r="I796" t="str">
        <f>INDEX(products!$B$1:$B$49,MATCH($D796,products!$A$1:$A$49,0))</f>
        <v>Ara</v>
      </c>
      <c r="J796" t="str">
        <f>INDEX(products!$C$1:$C$49,MATCH($D796,products!$A$1:$A$49,0))</f>
        <v>L</v>
      </c>
      <c r="K796" s="4">
        <f>INDEX(products!$D$1:$D$49,MATCH($D796,products!$A$1:$A$49,0))</f>
        <v>2.5</v>
      </c>
      <c r="L796" s="5">
        <f>INDEX(products!$E$1:$E$49,MATCH($D796,products!$A$1:$A$49,0))</f>
        <v>29.784999999999997</v>
      </c>
      <c r="M796" s="5">
        <f t="shared" si="12"/>
        <v>148.92499999999998</v>
      </c>
      <c r="N796" t="str" cm="1">
        <f t="array" ref="N796">_xlfn.IFS(I796="Rob","Robusta",I796="Exc","Excelsa",I796="Ara","Arabica",I796="Lib","Liberica")</f>
        <v>Arabica</v>
      </c>
      <c r="O796" t="str" cm="1">
        <f t="array" ref="O796">_xlfn.SWITCH($J796,"M","Medium","L","Light","D","Dark")</f>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IF(_xlfn.XLOOKUP(C797,customers!$A$1:$A$1001,customers!$C$1:$C$1001,,0)=0,"Not _Provided",_xlfn.XLOOKUP(C797,customers!$A$1:$A$1001,customers!$C$1:$C$1001,,0))</f>
        <v>wcalderom3@stumbleupon.com</v>
      </c>
      <c r="H797" s="2" t="str">
        <f>_xlfn.XLOOKUP(C797,customers!$A$1:$A$1001,customers!$G$1:$G$1001,,0)</f>
        <v>United States</v>
      </c>
      <c r="I797" t="str">
        <f>INDEX(products!$B$1:$B$49,MATCH($D797,products!$A$1:$A$49,0))</f>
        <v>Rob</v>
      </c>
      <c r="J797" t="str">
        <f>INDEX(products!$C$1:$C$49,MATCH($D797,products!$A$1:$A$49,0))</f>
        <v>L</v>
      </c>
      <c r="K797" s="4">
        <f>INDEX(products!$D$1:$D$49,MATCH($D797,products!$A$1:$A$49,0))</f>
        <v>0.5</v>
      </c>
      <c r="L797" s="5">
        <f>INDEX(products!$E$1:$E$49,MATCH($D797,products!$A$1:$A$49,0))</f>
        <v>7.169999999999999</v>
      </c>
      <c r="M797" s="5">
        <f t="shared" si="12"/>
        <v>28.679999999999996</v>
      </c>
      <c r="N797" t="str" cm="1">
        <f t="array" ref="N797">_xlfn.IFS(I797="Rob","Robusta",I797="Exc","Excelsa",I797="Ara","Arabica",I797="Lib","Liberica")</f>
        <v>Robusta</v>
      </c>
      <c r="O797" t="str" cm="1">
        <f t="array" ref="O797">_xlfn.SWITCH($J797,"M","Medium","L","Light","D","Dark")</f>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IF(_xlfn.XLOOKUP(C798,customers!$A$1:$A$1001,customers!$C$1:$C$1001,,0)=0,"Not _Provided",_xlfn.XLOOKUP(C798,customers!$A$1:$A$1001,customers!$C$1:$C$1001,,0))</f>
        <v>Not _Provided</v>
      </c>
      <c r="H798" s="2" t="str">
        <f>_xlfn.XLOOKUP(C798,customers!$A$1:$A$1001,customers!$G$1:$G$1001,,0)</f>
        <v>United States</v>
      </c>
      <c r="I798" t="str">
        <f>INDEX(products!$B$1:$B$49,MATCH($D798,products!$A$1:$A$49,0))</f>
        <v>Lib</v>
      </c>
      <c r="J798" t="str">
        <f>INDEX(products!$C$1:$C$49,MATCH($D798,products!$A$1:$A$49,0))</f>
        <v>L</v>
      </c>
      <c r="K798" s="4">
        <f>INDEX(products!$D$1:$D$49,MATCH($D798,products!$A$1:$A$49,0))</f>
        <v>0.5</v>
      </c>
      <c r="L798" s="5">
        <f>INDEX(products!$E$1:$E$49,MATCH($D798,products!$A$1:$A$49,0))</f>
        <v>9.51</v>
      </c>
      <c r="M798" s="5">
        <f t="shared" si="12"/>
        <v>9.51</v>
      </c>
      <c r="N798" t="str" cm="1">
        <f t="array" ref="N798">_xlfn.IFS(I798="Rob","Robusta",I798="Exc","Excelsa",I798="Ara","Arabica",I798="Lib","Liberica")</f>
        <v>Liberica</v>
      </c>
      <c r="O798" t="str" cm="1">
        <f t="array" ref="O798">_xlfn.SWITCH($J798,"M","Medium","L","Light","D","Dark")</f>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IF(_xlfn.XLOOKUP(C799,customers!$A$1:$A$1001,customers!$C$1:$C$1001,,0)=0,"Not _Provided",_xlfn.XLOOKUP(C799,customers!$A$1:$A$1001,customers!$C$1:$C$1001,,0))</f>
        <v>jkennicottm5@yahoo.co.jp</v>
      </c>
      <c r="H799" s="2" t="str">
        <f>_xlfn.XLOOKUP(C799,customers!$A$1:$A$1001,customers!$G$1:$G$1001,,0)</f>
        <v>United States</v>
      </c>
      <c r="I799" t="str">
        <f>INDEX(products!$B$1:$B$49,MATCH($D799,products!$A$1:$A$49,0))</f>
        <v>Ara</v>
      </c>
      <c r="J799" t="str">
        <f>INDEX(products!$C$1:$C$49,MATCH($D799,products!$A$1:$A$49,0))</f>
        <v>L</v>
      </c>
      <c r="K799" s="4">
        <f>INDEX(products!$D$1:$D$49,MATCH($D799,products!$A$1:$A$49,0))</f>
        <v>0.5</v>
      </c>
      <c r="L799" s="5">
        <f>INDEX(products!$E$1:$E$49,MATCH($D799,products!$A$1:$A$49,0))</f>
        <v>7.77</v>
      </c>
      <c r="M799" s="5">
        <f t="shared" si="12"/>
        <v>31.08</v>
      </c>
      <c r="N799" t="str" cm="1">
        <f t="array" ref="N799">_xlfn.IFS(I799="Rob","Robusta",I799="Exc","Excelsa",I799="Ara","Arabica",I799="Lib","Liberica")</f>
        <v>Arabica</v>
      </c>
      <c r="O799" t="str" cm="1">
        <f t="array" ref="O799">_xlfn.SWITCH($J799,"M","Medium","L","Light","D","Dark")</f>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IF(_xlfn.XLOOKUP(C800,customers!$A$1:$A$1001,customers!$C$1:$C$1001,,0)=0,"Not _Provided",_xlfn.XLOOKUP(C800,customers!$A$1:$A$1001,customers!$C$1:$C$1001,,0))</f>
        <v>gruggenm6@nymag.com</v>
      </c>
      <c r="H800" s="2" t="str">
        <f>_xlfn.XLOOKUP(C800,customers!$A$1:$A$1001,customers!$G$1:$G$1001,,0)</f>
        <v>United States</v>
      </c>
      <c r="I800" t="str">
        <f>INDEX(products!$B$1:$B$49,MATCH($D800,products!$A$1:$A$49,0))</f>
        <v>Rob</v>
      </c>
      <c r="J800" t="str">
        <f>INDEX(products!$C$1:$C$49,MATCH($D800,products!$A$1:$A$49,0))</f>
        <v>D</v>
      </c>
      <c r="K800" s="4">
        <f>INDEX(products!$D$1:$D$49,MATCH($D800,products!$A$1:$A$49,0))</f>
        <v>0.2</v>
      </c>
      <c r="L800" s="5">
        <f>INDEX(products!$E$1:$E$49,MATCH($D800,products!$A$1:$A$49,0))</f>
        <v>2.6849999999999996</v>
      </c>
      <c r="M800" s="5">
        <f t="shared" si="12"/>
        <v>8.0549999999999997</v>
      </c>
      <c r="N800" t="str" cm="1">
        <f t="array" ref="N800">_xlfn.IFS(I800="Rob","Robusta",I800="Exc","Excelsa",I800="Ara","Arabica",I800="Lib","Liberica")</f>
        <v>Robusta</v>
      </c>
      <c r="O800" t="str" cm="1">
        <f t="array" ref="O800">_xlfn.SWITCH($J800,"M","Medium","L","Light","D","Dark")</f>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IF(_xlfn.XLOOKUP(C801,customers!$A$1:$A$1001,customers!$C$1:$C$1001,,0)=0,"Not _Provided",_xlfn.XLOOKUP(C801,customers!$A$1:$A$1001,customers!$C$1:$C$1001,,0))</f>
        <v>Not _Provided</v>
      </c>
      <c r="H801" s="2" t="str">
        <f>_xlfn.XLOOKUP(C801,customers!$A$1:$A$1001,customers!$G$1:$G$1001,,0)</f>
        <v>United States</v>
      </c>
      <c r="I801" t="str">
        <f>INDEX(products!$B$1:$B$49,MATCH($D801,products!$A$1:$A$49,0))</f>
        <v>Exc</v>
      </c>
      <c r="J801" t="str">
        <f>INDEX(products!$C$1:$C$49,MATCH($D801,products!$A$1:$A$49,0))</f>
        <v>D</v>
      </c>
      <c r="K801" s="4">
        <f>INDEX(products!$D$1:$D$49,MATCH($D801,products!$A$1:$A$49,0))</f>
        <v>1</v>
      </c>
      <c r="L801" s="5">
        <f>INDEX(products!$E$1:$E$49,MATCH($D801,products!$A$1:$A$49,0))</f>
        <v>12.15</v>
      </c>
      <c r="M801" s="5">
        <f t="shared" si="12"/>
        <v>36.450000000000003</v>
      </c>
      <c r="N801" t="str" cm="1">
        <f t="array" ref="N801">_xlfn.IFS(I801="Rob","Robusta",I801="Exc","Excelsa",I801="Ara","Arabica",I801="Lib","Liberica")</f>
        <v>Excelsa</v>
      </c>
      <c r="O801" t="str" cm="1">
        <f t="array" ref="O801">_xlfn.SWITCH($J801,"M","Medium","L","Light","D","Dark")</f>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IF(_xlfn.XLOOKUP(C802,customers!$A$1:$A$1001,customers!$C$1:$C$1001,,0)=0,"Not _Provided",_xlfn.XLOOKUP(C802,customers!$A$1:$A$1001,customers!$C$1:$C$1001,,0))</f>
        <v>mfrightm8@harvard.edu</v>
      </c>
      <c r="H802" s="2" t="str">
        <f>_xlfn.XLOOKUP(C802,customers!$A$1:$A$1001,customers!$G$1:$G$1001,,0)</f>
        <v>Ireland</v>
      </c>
      <c r="I802" t="str">
        <f>INDEX(products!$B$1:$B$49,MATCH($D802,products!$A$1:$A$49,0))</f>
        <v>Rob</v>
      </c>
      <c r="J802" t="str">
        <f>INDEX(products!$C$1:$C$49,MATCH($D802,products!$A$1:$A$49,0))</f>
        <v>D</v>
      </c>
      <c r="K802" s="4">
        <f>INDEX(products!$D$1:$D$49,MATCH($D802,products!$A$1:$A$49,0))</f>
        <v>0.2</v>
      </c>
      <c r="L802" s="5">
        <f>INDEX(products!$E$1:$E$49,MATCH($D802,products!$A$1:$A$49,0))</f>
        <v>2.6849999999999996</v>
      </c>
      <c r="M802" s="5">
        <f t="shared" si="12"/>
        <v>16.11</v>
      </c>
      <c r="N802" t="str" cm="1">
        <f t="array" ref="N802">_xlfn.IFS(I802="Rob","Robusta",I802="Exc","Excelsa",I802="Ara","Arabica",I802="Lib","Liberica")</f>
        <v>Robusta</v>
      </c>
      <c r="O802" t="str" cm="1">
        <f t="array" ref="O802">_xlfn.SWITCH($J802,"M","Medium","L","Light","D","Dark")</f>
        <v>Dark</v>
      </c>
      <c r="P802" t="str">
        <f>_xlfn.XLOOKUP(Table1[[#This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IF(_xlfn.XLOOKUP(C803,customers!$A$1:$A$1001,customers!$C$1:$C$1001,,0)=0,"Not _Provided",_xlfn.XLOOKUP(C803,customers!$A$1:$A$1001,customers!$C$1:$C$1001,,0))</f>
        <v>btartem9@aol.com</v>
      </c>
      <c r="H803" s="2" t="str">
        <f>_xlfn.XLOOKUP(C803,customers!$A$1:$A$1001,customers!$G$1:$G$1001,,0)</f>
        <v>United States</v>
      </c>
      <c r="I803" t="str">
        <f>INDEX(products!$B$1:$B$49,MATCH($D803,products!$A$1:$A$49,0))</f>
        <v>Rob</v>
      </c>
      <c r="J803" t="str">
        <f>INDEX(products!$C$1:$C$49,MATCH($D803,products!$A$1:$A$49,0))</f>
        <v>D</v>
      </c>
      <c r="K803" s="4">
        <f>INDEX(products!$D$1:$D$49,MATCH($D803,products!$A$1:$A$49,0))</f>
        <v>2.5</v>
      </c>
      <c r="L803" s="5">
        <f>INDEX(products!$E$1:$E$49,MATCH($D803,products!$A$1:$A$49,0))</f>
        <v>20.584999999999997</v>
      </c>
      <c r="M803" s="5">
        <f t="shared" si="12"/>
        <v>41.169999999999995</v>
      </c>
      <c r="N803" t="str" cm="1">
        <f t="array" ref="N803">_xlfn.IFS(I803="Rob","Robusta",I803="Exc","Excelsa",I803="Ara","Arabica",I803="Lib","Liberica")</f>
        <v>Robusta</v>
      </c>
      <c r="O803" t="str" cm="1">
        <f t="array" ref="O803">_xlfn.SWITCH($J803,"M","Medium","L","Light","D","Dark")</f>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IF(_xlfn.XLOOKUP(C804,customers!$A$1:$A$1001,customers!$C$1:$C$1001,,0)=0,"Not _Provided",_xlfn.XLOOKUP(C804,customers!$A$1:$A$1001,customers!$C$1:$C$1001,,0))</f>
        <v>ckrzysztofiakma@skyrock.com</v>
      </c>
      <c r="H804" s="2" t="str">
        <f>_xlfn.XLOOKUP(C804,customers!$A$1:$A$1001,customers!$G$1:$G$1001,,0)</f>
        <v>United States</v>
      </c>
      <c r="I804" t="str">
        <f>INDEX(products!$B$1:$B$49,MATCH($D804,products!$A$1:$A$49,0))</f>
        <v>Rob</v>
      </c>
      <c r="J804" t="str">
        <f>INDEX(products!$C$1:$C$49,MATCH($D804,products!$A$1:$A$49,0))</f>
        <v>D</v>
      </c>
      <c r="K804" s="4">
        <f>INDEX(products!$D$1:$D$49,MATCH($D804,products!$A$1:$A$49,0))</f>
        <v>0.2</v>
      </c>
      <c r="L804" s="5">
        <f>INDEX(products!$E$1:$E$49,MATCH($D804,products!$A$1:$A$49,0))</f>
        <v>2.6849999999999996</v>
      </c>
      <c r="M804" s="5">
        <f t="shared" si="12"/>
        <v>10.739999999999998</v>
      </c>
      <c r="N804" t="str" cm="1">
        <f t="array" ref="N804">_xlfn.IFS(I804="Rob","Robusta",I804="Exc","Excelsa",I804="Ara","Arabica",I804="Lib","Liberica")</f>
        <v>Robusta</v>
      </c>
      <c r="O804" t="str" cm="1">
        <f t="array" ref="O804">_xlfn.SWITCH($J804,"M","Medium","L","Light","D","Dark")</f>
        <v>Dark</v>
      </c>
      <c r="P804" t="str">
        <f>_xlfn.XLOOKUP(Table1[[#This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IF(_xlfn.XLOOKUP(C805,customers!$A$1:$A$1001,customers!$C$1:$C$1001,,0)=0,"Not _Provided",_xlfn.XLOOKUP(C805,customers!$A$1:$A$1001,customers!$C$1:$C$1001,,0))</f>
        <v>dpenquetmb@diigo.com</v>
      </c>
      <c r="H805" s="2" t="str">
        <f>_xlfn.XLOOKUP(C805,customers!$A$1:$A$1001,customers!$G$1:$G$1001,,0)</f>
        <v>United States</v>
      </c>
      <c r="I805" t="str">
        <f>INDEX(products!$B$1:$B$49,MATCH($D805,products!$A$1:$A$49,0))</f>
        <v>Exc</v>
      </c>
      <c r="J805" t="str">
        <f>INDEX(products!$C$1:$C$49,MATCH($D805,products!$A$1:$A$49,0))</f>
        <v>M</v>
      </c>
      <c r="K805" s="4">
        <f>INDEX(products!$D$1:$D$49,MATCH($D805,products!$A$1:$A$49,0))</f>
        <v>2.5</v>
      </c>
      <c r="L805" s="5">
        <f>INDEX(products!$E$1:$E$49,MATCH($D805,products!$A$1:$A$49,0))</f>
        <v>31.624999999999996</v>
      </c>
      <c r="M805" s="5">
        <f t="shared" si="12"/>
        <v>126.49999999999999</v>
      </c>
      <c r="N805" t="str" cm="1">
        <f t="array" ref="N805">_xlfn.IFS(I805="Rob","Robusta",I805="Exc","Excelsa",I805="Ara","Arabica",I805="Lib","Liberica")</f>
        <v>Excelsa</v>
      </c>
      <c r="O805" t="str" cm="1">
        <f t="array" ref="O805">_xlfn.SWITCH($J805,"M","Medium","L","Light","D","Dark")</f>
        <v>Medium</v>
      </c>
      <c r="P805" t="str">
        <f>_xlfn.XLOOKUP(Table1[[#This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IF(_xlfn.XLOOKUP(C806,customers!$A$1:$A$1001,customers!$C$1:$C$1001,,0)=0,"Not _Provided",_xlfn.XLOOKUP(C806,customers!$A$1:$A$1001,customers!$C$1:$C$1001,,0))</f>
        <v>Not _Provided</v>
      </c>
      <c r="H806" s="2" t="str">
        <f>_xlfn.XLOOKUP(C806,customers!$A$1:$A$1001,customers!$G$1:$G$1001,,0)</f>
        <v>United Kingdom</v>
      </c>
      <c r="I806" t="str">
        <f>INDEX(products!$B$1:$B$49,MATCH($D806,products!$A$1:$A$49,0))</f>
        <v>Rob</v>
      </c>
      <c r="J806" t="str">
        <f>INDEX(products!$C$1:$C$49,MATCH($D806,products!$A$1:$A$49,0))</f>
        <v>L</v>
      </c>
      <c r="K806" s="4">
        <f>INDEX(products!$D$1:$D$49,MATCH($D806,products!$A$1:$A$49,0))</f>
        <v>1</v>
      </c>
      <c r="L806" s="5">
        <f>INDEX(products!$E$1:$E$49,MATCH($D806,products!$A$1:$A$49,0))</f>
        <v>11.95</v>
      </c>
      <c r="M806" s="5">
        <f t="shared" si="12"/>
        <v>23.9</v>
      </c>
      <c r="N806" t="str" cm="1">
        <f t="array" ref="N806">_xlfn.IFS(I806="Rob","Robusta",I806="Exc","Excelsa",I806="Ara","Arabica",I806="Lib","Liberica")</f>
        <v>Robusta</v>
      </c>
      <c r="O806" t="str" cm="1">
        <f t="array" ref="O806">_xlfn.SWITCH($J806,"M","Medium","L","Light","D","Dark")</f>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IF(_xlfn.XLOOKUP(C807,customers!$A$1:$A$1001,customers!$C$1:$C$1001,,0)=0,"Not _Provided",_xlfn.XLOOKUP(C807,customers!$A$1:$A$1001,customers!$C$1:$C$1001,,0))</f>
        <v>Not _Provided</v>
      </c>
      <c r="H807" s="2" t="str">
        <f>_xlfn.XLOOKUP(C807,customers!$A$1:$A$1001,customers!$G$1:$G$1001,,0)</f>
        <v>United States</v>
      </c>
      <c r="I807" t="str">
        <f>INDEX(products!$B$1:$B$49,MATCH($D807,products!$A$1:$A$49,0))</f>
        <v>Rob</v>
      </c>
      <c r="J807" t="str">
        <f>INDEX(products!$C$1:$C$49,MATCH($D807,products!$A$1:$A$49,0))</f>
        <v>M</v>
      </c>
      <c r="K807" s="4">
        <f>INDEX(products!$D$1:$D$49,MATCH($D807,products!$A$1:$A$49,0))</f>
        <v>0.5</v>
      </c>
      <c r="L807" s="5">
        <f>INDEX(products!$E$1:$E$49,MATCH($D807,products!$A$1:$A$49,0))</f>
        <v>5.97</v>
      </c>
      <c r="M807" s="5">
        <f t="shared" si="12"/>
        <v>5.97</v>
      </c>
      <c r="N807" t="str" cm="1">
        <f t="array" ref="N807">_xlfn.IFS(I807="Rob","Robusta",I807="Exc","Excelsa",I807="Ara","Arabica",I807="Lib","Liberica")</f>
        <v>Robusta</v>
      </c>
      <c r="O807" t="str" cm="1">
        <f t="array" ref="O807">_xlfn.SWITCH($J807,"M","Medium","L","Light","D","Dark")</f>
        <v>Medium</v>
      </c>
      <c r="P807" t="str">
        <f>_xlfn.XLOOKUP(Table1[[#This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IF(_xlfn.XLOOKUP(C808,customers!$A$1:$A$1001,customers!$C$1:$C$1001,,0)=0,"Not _Provided",_xlfn.XLOOKUP(C808,customers!$A$1:$A$1001,customers!$C$1:$C$1001,,0))</f>
        <v>Not _Provided</v>
      </c>
      <c r="H808" s="2" t="str">
        <f>_xlfn.XLOOKUP(C808,customers!$A$1:$A$1001,customers!$G$1:$G$1001,,0)</f>
        <v>United Kingdom</v>
      </c>
      <c r="I808" t="str">
        <f>INDEX(products!$B$1:$B$49,MATCH($D808,products!$A$1:$A$49,0))</f>
        <v>Lib</v>
      </c>
      <c r="J808" t="str">
        <f>INDEX(products!$C$1:$C$49,MATCH($D808,products!$A$1:$A$49,0))</f>
        <v>D</v>
      </c>
      <c r="K808" s="4">
        <f>INDEX(products!$D$1:$D$49,MATCH($D808,products!$A$1:$A$49,0))</f>
        <v>0.2</v>
      </c>
      <c r="L808" s="5">
        <f>INDEX(products!$E$1:$E$49,MATCH($D808,products!$A$1:$A$49,0))</f>
        <v>3.8849999999999998</v>
      </c>
      <c r="M808" s="5">
        <f t="shared" si="12"/>
        <v>7.77</v>
      </c>
      <c r="N808" t="str" cm="1">
        <f t="array" ref="N808">_xlfn.IFS(I808="Rob","Robusta",I808="Exc","Excelsa",I808="Ara","Arabica",I808="Lib","Liberica")</f>
        <v>Liberica</v>
      </c>
      <c r="O808" t="str" cm="1">
        <f t="array" ref="O808">_xlfn.SWITCH($J808,"M","Medium","L","Light","D","Dark")</f>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IF(_xlfn.XLOOKUP(C809,customers!$A$1:$A$1001,customers!$C$1:$C$1001,,0)=0,"Not _Provided",_xlfn.XLOOKUP(C809,customers!$A$1:$A$1001,customers!$C$1:$C$1001,,0))</f>
        <v>kferrettimf@huffingtonpost.com</v>
      </c>
      <c r="H809" s="2" t="str">
        <f>_xlfn.XLOOKUP(C809,customers!$A$1:$A$1001,customers!$G$1:$G$1001,,0)</f>
        <v>Ireland</v>
      </c>
      <c r="I809" t="str">
        <f>INDEX(products!$B$1:$B$49,MATCH($D809,products!$A$1:$A$49,0))</f>
        <v>Lib</v>
      </c>
      <c r="J809" t="str">
        <f>INDEX(products!$C$1:$C$49,MATCH($D809,products!$A$1:$A$49,0))</f>
        <v>D</v>
      </c>
      <c r="K809" s="4">
        <f>INDEX(products!$D$1:$D$49,MATCH($D809,products!$A$1:$A$49,0))</f>
        <v>0.5</v>
      </c>
      <c r="L809" s="5">
        <f>INDEX(products!$E$1:$E$49,MATCH($D809,products!$A$1:$A$49,0))</f>
        <v>7.77</v>
      </c>
      <c r="M809" s="5">
        <f t="shared" si="12"/>
        <v>23.31</v>
      </c>
      <c r="N809" t="str" cm="1">
        <f t="array" ref="N809">_xlfn.IFS(I809="Rob","Robusta",I809="Exc","Excelsa",I809="Ara","Arabica",I809="Lib","Liberica")</f>
        <v>Liberica</v>
      </c>
      <c r="O809" t="str" cm="1">
        <f t="array" ref="O809">_xlfn.SWITCH($J809,"M","Medium","L","Light","D","Dark")</f>
        <v>Dark</v>
      </c>
      <c r="P809" t="str">
        <f>_xlfn.XLOOKUP(Table1[[#This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IF(_xlfn.XLOOKUP(C810,customers!$A$1:$A$1001,customers!$C$1:$C$1001,,0)=0,"Not _Provided",_xlfn.XLOOKUP(C810,customers!$A$1:$A$1001,customers!$C$1:$C$1001,,0))</f>
        <v>Not _Provided</v>
      </c>
      <c r="H810" s="2" t="str">
        <f>_xlfn.XLOOKUP(C810,customers!$A$1:$A$1001,customers!$G$1:$G$1001,,0)</f>
        <v>United States</v>
      </c>
      <c r="I810" t="str">
        <f>INDEX(products!$B$1:$B$49,MATCH($D810,products!$A$1:$A$49,0))</f>
        <v>Rob</v>
      </c>
      <c r="J810" t="str">
        <f>INDEX(products!$C$1:$C$49,MATCH($D810,products!$A$1:$A$49,0))</f>
        <v>L</v>
      </c>
      <c r="K810" s="4">
        <f>INDEX(products!$D$1:$D$49,MATCH($D810,products!$A$1:$A$49,0))</f>
        <v>2.5</v>
      </c>
      <c r="L810" s="5">
        <f>INDEX(products!$E$1:$E$49,MATCH($D810,products!$A$1:$A$49,0))</f>
        <v>27.484999999999996</v>
      </c>
      <c r="M810" s="5">
        <f t="shared" si="12"/>
        <v>137.42499999999998</v>
      </c>
      <c r="N810" t="str" cm="1">
        <f t="array" ref="N810">_xlfn.IFS(I810="Rob","Robusta",I810="Exc","Excelsa",I810="Ara","Arabica",I810="Lib","Liberica")</f>
        <v>Robusta</v>
      </c>
      <c r="O810" t="str" cm="1">
        <f t="array" ref="O810">_xlfn.SWITCH($J810,"M","Medium","L","Light","D","Dark")</f>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IF(_xlfn.XLOOKUP(C811,customers!$A$1:$A$1001,customers!$C$1:$C$1001,,0)=0,"Not _Provided",_xlfn.XLOOKUP(C811,customers!$A$1:$A$1001,customers!$C$1:$C$1001,,0))</f>
        <v>Not _Provided</v>
      </c>
      <c r="H811" s="2" t="str">
        <f>_xlfn.XLOOKUP(C811,customers!$A$1:$A$1001,customers!$G$1:$G$1001,,0)</f>
        <v>United States</v>
      </c>
      <c r="I811" t="str">
        <f>INDEX(products!$B$1:$B$49,MATCH($D811,products!$A$1:$A$49,0))</f>
        <v>Rob</v>
      </c>
      <c r="J811" t="str">
        <f>INDEX(products!$C$1:$C$49,MATCH($D811,products!$A$1:$A$49,0))</f>
        <v>D</v>
      </c>
      <c r="K811" s="4">
        <f>INDEX(products!$D$1:$D$49,MATCH($D811,products!$A$1:$A$49,0))</f>
        <v>0.2</v>
      </c>
      <c r="L811" s="5">
        <f>INDEX(products!$E$1:$E$49,MATCH($D811,products!$A$1:$A$49,0))</f>
        <v>2.6849999999999996</v>
      </c>
      <c r="M811" s="5">
        <f t="shared" si="12"/>
        <v>8.0549999999999997</v>
      </c>
      <c r="N811" t="str" cm="1">
        <f t="array" ref="N811">_xlfn.IFS(I811="Rob","Robusta",I811="Exc","Excelsa",I811="Ara","Arabica",I811="Lib","Liberica")</f>
        <v>Robusta</v>
      </c>
      <c r="O811" t="str" cm="1">
        <f t="array" ref="O811">_xlfn.SWITCH($J811,"M","Medium","L","Light","D","Dark")</f>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IF(_xlfn.XLOOKUP(C812,customers!$A$1:$A$1001,customers!$C$1:$C$1001,,0)=0,"Not _Provided",_xlfn.XLOOKUP(C812,customers!$A$1:$A$1001,customers!$C$1:$C$1001,,0))</f>
        <v>abalsdonemi@toplist.cz</v>
      </c>
      <c r="H812" s="2" t="str">
        <f>_xlfn.XLOOKUP(C812,customers!$A$1:$A$1001,customers!$G$1:$G$1001,,0)</f>
        <v>United States</v>
      </c>
      <c r="I812" t="str">
        <f>INDEX(products!$B$1:$B$49,MATCH($D812,products!$A$1:$A$49,0))</f>
        <v>Lib</v>
      </c>
      <c r="J812" t="str">
        <f>INDEX(products!$C$1:$C$49,MATCH($D812,products!$A$1:$A$49,0))</f>
        <v>L</v>
      </c>
      <c r="K812" s="4">
        <f>INDEX(products!$D$1:$D$49,MATCH($D812,products!$A$1:$A$49,0))</f>
        <v>0.5</v>
      </c>
      <c r="L812" s="5">
        <f>INDEX(products!$E$1:$E$49,MATCH($D812,products!$A$1:$A$49,0))</f>
        <v>9.51</v>
      </c>
      <c r="M812" s="5">
        <f t="shared" si="12"/>
        <v>28.53</v>
      </c>
      <c r="N812" t="str" cm="1">
        <f t="array" ref="N812">_xlfn.IFS(I812="Rob","Robusta",I812="Exc","Excelsa",I812="Ara","Arabica",I812="Lib","Liberica")</f>
        <v>Liberica</v>
      </c>
      <c r="O812" t="str" cm="1">
        <f t="array" ref="O812">_xlfn.SWITCH($J812,"M","Medium","L","Light","D","Dark")</f>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IF(_xlfn.XLOOKUP(C813,customers!$A$1:$A$1001,customers!$C$1:$C$1001,,0)=0,"Not _Provided",_xlfn.XLOOKUP(C813,customers!$A$1:$A$1001,customers!$C$1:$C$1001,,0))</f>
        <v>bromeramj@list-manage.com</v>
      </c>
      <c r="H813" s="2" t="str">
        <f>_xlfn.XLOOKUP(C813,customers!$A$1:$A$1001,customers!$G$1:$G$1001,,0)</f>
        <v>Ireland</v>
      </c>
      <c r="I813" t="str">
        <f>INDEX(products!$B$1:$B$49,MATCH($D813,products!$A$1:$A$49,0))</f>
        <v>Ara</v>
      </c>
      <c r="J813" t="str">
        <f>INDEX(products!$C$1:$C$49,MATCH($D813,products!$A$1:$A$49,0))</f>
        <v>M</v>
      </c>
      <c r="K813" s="4">
        <f>INDEX(products!$D$1:$D$49,MATCH($D813,products!$A$1:$A$49,0))</f>
        <v>1</v>
      </c>
      <c r="L813" s="5">
        <f>INDEX(products!$E$1:$E$49,MATCH($D813,products!$A$1:$A$49,0))</f>
        <v>11.25</v>
      </c>
      <c r="M813" s="5">
        <f t="shared" si="12"/>
        <v>67.5</v>
      </c>
      <c r="N813" t="str" cm="1">
        <f t="array" ref="N813">_xlfn.IFS(I813="Rob","Robusta",I813="Exc","Excelsa",I813="Ara","Arabica",I813="Lib","Liberica")</f>
        <v>Arabica</v>
      </c>
      <c r="O813" t="str" cm="1">
        <f t="array" ref="O813">_xlfn.SWITCH($J813,"M","Medium","L","Light","D","Dark")</f>
        <v>Medium</v>
      </c>
      <c r="P813" t="str">
        <f>_xlfn.XLOOKUP(Table1[[#This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IF(_xlfn.XLOOKUP(C814,customers!$A$1:$A$1001,customers!$C$1:$C$1001,,0)=0,"Not _Provided",_xlfn.XLOOKUP(C814,customers!$A$1:$A$1001,customers!$C$1:$C$1001,,0))</f>
        <v>bromeramj@list-manage.com</v>
      </c>
      <c r="H814" s="2" t="str">
        <f>_xlfn.XLOOKUP(C814,customers!$A$1:$A$1001,customers!$G$1:$G$1001,,0)</f>
        <v>Ireland</v>
      </c>
      <c r="I814" t="str">
        <f>INDEX(products!$B$1:$B$49,MATCH($D814,products!$A$1:$A$49,0))</f>
        <v>Lib</v>
      </c>
      <c r="J814" t="str">
        <f>INDEX(products!$C$1:$C$49,MATCH($D814,products!$A$1:$A$49,0))</f>
        <v>D</v>
      </c>
      <c r="K814" s="4">
        <f>INDEX(products!$D$1:$D$49,MATCH($D814,products!$A$1:$A$49,0))</f>
        <v>2.5</v>
      </c>
      <c r="L814" s="5">
        <f>INDEX(products!$E$1:$E$49,MATCH($D814,products!$A$1:$A$49,0))</f>
        <v>29.784999999999997</v>
      </c>
      <c r="M814" s="5">
        <f t="shared" si="12"/>
        <v>178.70999999999998</v>
      </c>
      <c r="N814" t="str" cm="1">
        <f t="array" ref="N814">_xlfn.IFS(I814="Rob","Robusta",I814="Exc","Excelsa",I814="Ara","Arabica",I814="Lib","Liberica")</f>
        <v>Liberica</v>
      </c>
      <c r="O814" t="str" cm="1">
        <f t="array" ref="O814">_xlfn.SWITCH($J814,"M","Medium","L","Light","D","Dark")</f>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IF(_xlfn.XLOOKUP(C815,customers!$A$1:$A$1001,customers!$C$1:$C$1001,,0)=0,"Not _Provided",_xlfn.XLOOKUP(C815,customers!$A$1:$A$1001,customers!$C$1:$C$1001,,0))</f>
        <v>cbrydeml@tuttocitta.it</v>
      </c>
      <c r="H815" s="2" t="str">
        <f>_xlfn.XLOOKUP(C815,customers!$A$1:$A$1001,customers!$G$1:$G$1001,,0)</f>
        <v>United States</v>
      </c>
      <c r="I815" t="str">
        <f>INDEX(products!$B$1:$B$49,MATCH($D815,products!$A$1:$A$49,0))</f>
        <v>Exc</v>
      </c>
      <c r="J815" t="str">
        <f>INDEX(products!$C$1:$C$49,MATCH($D815,products!$A$1:$A$49,0))</f>
        <v>M</v>
      </c>
      <c r="K815" s="4">
        <f>INDEX(products!$D$1:$D$49,MATCH($D815,products!$A$1:$A$49,0))</f>
        <v>2.5</v>
      </c>
      <c r="L815" s="5">
        <f>INDEX(products!$E$1:$E$49,MATCH($D815,products!$A$1:$A$49,0))</f>
        <v>31.624999999999996</v>
      </c>
      <c r="M815" s="5">
        <f t="shared" si="12"/>
        <v>31.624999999999996</v>
      </c>
      <c r="N815" t="str" cm="1">
        <f t="array" ref="N815">_xlfn.IFS(I815="Rob","Robusta",I815="Exc","Excelsa",I815="Ara","Arabica",I815="Lib","Liberica")</f>
        <v>Excelsa</v>
      </c>
      <c r="O815" t="str" cm="1">
        <f t="array" ref="O815">_xlfn.SWITCH($J815,"M","Medium","L","Light","D","Dark")</f>
        <v>Medium</v>
      </c>
      <c r="P815" t="str">
        <f>_xlfn.XLOOKUP(Table1[[#This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IF(_xlfn.XLOOKUP(C816,customers!$A$1:$A$1001,customers!$C$1:$C$1001,,0)=0,"Not _Provided",_xlfn.XLOOKUP(C816,customers!$A$1:$A$1001,customers!$C$1:$C$1001,,0))</f>
        <v>senefermm@blog.com</v>
      </c>
      <c r="H816" s="2" t="str">
        <f>_xlfn.XLOOKUP(C816,customers!$A$1:$A$1001,customers!$G$1:$G$1001,,0)</f>
        <v>United States</v>
      </c>
      <c r="I816" t="str">
        <f>INDEX(products!$B$1:$B$49,MATCH($D816,products!$A$1:$A$49,0))</f>
        <v>Exc</v>
      </c>
      <c r="J816" t="str">
        <f>INDEX(products!$C$1:$C$49,MATCH($D816,products!$A$1:$A$49,0))</f>
        <v>L</v>
      </c>
      <c r="K816" s="4">
        <f>INDEX(products!$D$1:$D$49,MATCH($D816,products!$A$1:$A$49,0))</f>
        <v>0.2</v>
      </c>
      <c r="L816" s="5">
        <f>INDEX(products!$E$1:$E$49,MATCH($D816,products!$A$1:$A$49,0))</f>
        <v>4.4550000000000001</v>
      </c>
      <c r="M816" s="5">
        <f t="shared" si="12"/>
        <v>8.91</v>
      </c>
      <c r="N816" t="str" cm="1">
        <f t="array" ref="N816">_xlfn.IFS(I816="Rob","Robusta",I816="Exc","Excelsa",I816="Ara","Arabica",I816="Lib","Liberica")</f>
        <v>Excelsa</v>
      </c>
      <c r="O816" t="str" cm="1">
        <f t="array" ref="O816">_xlfn.SWITCH($J816,"M","Medium","L","Light","D","Dark")</f>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IF(_xlfn.XLOOKUP(C817,customers!$A$1:$A$1001,customers!$C$1:$C$1001,,0)=0,"Not _Provided",_xlfn.XLOOKUP(C817,customers!$A$1:$A$1001,customers!$C$1:$C$1001,,0))</f>
        <v>lhaggerstonemn@independent.co.uk</v>
      </c>
      <c r="H817" s="2" t="str">
        <f>_xlfn.XLOOKUP(C817,customers!$A$1:$A$1001,customers!$G$1:$G$1001,,0)</f>
        <v>United States</v>
      </c>
      <c r="I817" t="str">
        <f>INDEX(products!$B$1:$B$49,MATCH($D817,products!$A$1:$A$49,0))</f>
        <v>Rob</v>
      </c>
      <c r="J817" t="str">
        <f>INDEX(products!$C$1:$C$49,MATCH($D817,products!$A$1:$A$49,0))</f>
        <v>M</v>
      </c>
      <c r="K817" s="4">
        <f>INDEX(products!$D$1:$D$49,MATCH($D817,products!$A$1:$A$49,0))</f>
        <v>0.5</v>
      </c>
      <c r="L817" s="5">
        <f>INDEX(products!$E$1:$E$49,MATCH($D817,products!$A$1:$A$49,0))</f>
        <v>5.97</v>
      </c>
      <c r="M817" s="5">
        <f t="shared" si="12"/>
        <v>35.82</v>
      </c>
      <c r="N817" t="str" cm="1">
        <f t="array" ref="N817">_xlfn.IFS(I817="Rob","Robusta",I817="Exc","Excelsa",I817="Ara","Arabica",I817="Lib","Liberica")</f>
        <v>Robusta</v>
      </c>
      <c r="O817" t="str" cm="1">
        <f t="array" ref="O817">_xlfn.SWITCH($J817,"M","Medium","L","Light","D","Dark")</f>
        <v>Medium</v>
      </c>
      <c r="P817" t="str">
        <f>_xlfn.XLOOKUP(Table1[[#This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IF(_xlfn.XLOOKUP(C818,customers!$A$1:$A$1001,customers!$C$1:$C$1001,,0)=0,"Not _Provided",_xlfn.XLOOKUP(C818,customers!$A$1:$A$1001,customers!$C$1:$C$1001,,0))</f>
        <v>mgundrymo@omniture.com</v>
      </c>
      <c r="H818" s="2" t="str">
        <f>_xlfn.XLOOKUP(C818,customers!$A$1:$A$1001,customers!$G$1:$G$1001,,0)</f>
        <v>Ireland</v>
      </c>
      <c r="I818" t="str">
        <f>INDEX(products!$B$1:$B$49,MATCH($D818,products!$A$1:$A$49,0))</f>
        <v>Lib</v>
      </c>
      <c r="J818" t="str">
        <f>INDEX(products!$C$1:$C$49,MATCH($D818,products!$A$1:$A$49,0))</f>
        <v>L</v>
      </c>
      <c r="K818" s="4">
        <f>INDEX(products!$D$1:$D$49,MATCH($D818,products!$A$1:$A$49,0))</f>
        <v>0.5</v>
      </c>
      <c r="L818" s="5">
        <f>INDEX(products!$E$1:$E$49,MATCH($D818,products!$A$1:$A$49,0))</f>
        <v>9.51</v>
      </c>
      <c r="M818" s="5">
        <f t="shared" si="12"/>
        <v>38.04</v>
      </c>
      <c r="N818" t="str" cm="1">
        <f t="array" ref="N818">_xlfn.IFS(I818="Rob","Robusta",I818="Exc","Excelsa",I818="Ara","Arabica",I818="Lib","Liberica")</f>
        <v>Liberica</v>
      </c>
      <c r="O818" t="str" cm="1">
        <f t="array" ref="O818">_xlfn.SWITCH($J818,"M","Medium","L","Light","D","Dark")</f>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IF(_xlfn.XLOOKUP(C819,customers!$A$1:$A$1001,customers!$C$1:$C$1001,,0)=0,"Not _Provided",_xlfn.XLOOKUP(C819,customers!$A$1:$A$1001,customers!$C$1:$C$1001,,0))</f>
        <v>bwellanmp@cafepress.com</v>
      </c>
      <c r="H819" s="2" t="str">
        <f>_xlfn.XLOOKUP(C819,customers!$A$1:$A$1001,customers!$G$1:$G$1001,,0)</f>
        <v>United States</v>
      </c>
      <c r="I819" t="str">
        <f>INDEX(products!$B$1:$B$49,MATCH($D819,products!$A$1:$A$49,0))</f>
        <v>Lib</v>
      </c>
      <c r="J819" t="str">
        <f>INDEX(products!$C$1:$C$49,MATCH($D819,products!$A$1:$A$49,0))</f>
        <v>D</v>
      </c>
      <c r="K819" s="4">
        <f>INDEX(products!$D$1:$D$49,MATCH($D819,products!$A$1:$A$49,0))</f>
        <v>0.5</v>
      </c>
      <c r="L819" s="5">
        <f>INDEX(products!$E$1:$E$49,MATCH($D819,products!$A$1:$A$49,0))</f>
        <v>7.77</v>
      </c>
      <c r="M819" s="5">
        <f t="shared" si="12"/>
        <v>15.54</v>
      </c>
      <c r="N819" t="str" cm="1">
        <f t="array" ref="N819">_xlfn.IFS(I819="Rob","Robusta",I819="Exc","Excelsa",I819="Ara","Arabica",I819="Lib","Liberica")</f>
        <v>Liberica</v>
      </c>
      <c r="O819" t="str" cm="1">
        <f t="array" ref="O819">_xlfn.SWITCH($J819,"M","Medium","L","Light","D","Dark")</f>
        <v>Dark</v>
      </c>
      <c r="P819" t="str">
        <f>_xlfn.XLOOKUP(Table1[[#This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IF(_xlfn.XLOOKUP(C820,customers!$A$1:$A$1001,customers!$C$1:$C$1001,,0)=0,"Not _Provided",_xlfn.XLOOKUP(C820,customers!$A$1:$A$1001,customers!$C$1:$C$1001,,0))</f>
        <v>Not _Provided</v>
      </c>
      <c r="H820" s="2" t="str">
        <f>_xlfn.XLOOKUP(C820,customers!$A$1:$A$1001,customers!$G$1:$G$1001,,0)</f>
        <v>United States</v>
      </c>
      <c r="I820" t="str">
        <f>INDEX(products!$B$1:$B$49,MATCH($D820,products!$A$1:$A$49,0))</f>
        <v>Lib</v>
      </c>
      <c r="J820" t="str">
        <f>INDEX(products!$C$1:$C$49,MATCH($D820,products!$A$1:$A$49,0))</f>
        <v>L</v>
      </c>
      <c r="K820" s="4">
        <f>INDEX(products!$D$1:$D$49,MATCH($D820,products!$A$1:$A$49,0))</f>
        <v>1</v>
      </c>
      <c r="L820" s="5">
        <f>INDEX(products!$E$1:$E$49,MATCH($D820,products!$A$1:$A$49,0))</f>
        <v>15.85</v>
      </c>
      <c r="M820" s="5">
        <f t="shared" si="12"/>
        <v>79.25</v>
      </c>
      <c r="N820" t="str" cm="1">
        <f t="array" ref="N820">_xlfn.IFS(I820="Rob","Robusta",I820="Exc","Excelsa",I820="Ara","Arabica",I820="Lib","Liberica")</f>
        <v>Liberica</v>
      </c>
      <c r="O820" t="str" cm="1">
        <f t="array" ref="O820">_xlfn.SWITCH($J820,"M","Medium","L","Light","D","Dark")</f>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IF(_xlfn.XLOOKUP(C821,customers!$A$1:$A$1001,customers!$C$1:$C$1001,,0)=0,"Not _Provided",_xlfn.XLOOKUP(C821,customers!$A$1:$A$1001,customers!$C$1:$C$1001,,0))</f>
        <v>catchesonmr@xinhuanet.com</v>
      </c>
      <c r="H821" s="2" t="str">
        <f>_xlfn.XLOOKUP(C821,customers!$A$1:$A$1001,customers!$G$1:$G$1001,,0)</f>
        <v>United States</v>
      </c>
      <c r="I821" t="str">
        <f>INDEX(products!$B$1:$B$49,MATCH($D821,products!$A$1:$A$49,0))</f>
        <v>Lib</v>
      </c>
      <c r="J821" t="str">
        <f>INDEX(products!$C$1:$C$49,MATCH($D821,products!$A$1:$A$49,0))</f>
        <v>L</v>
      </c>
      <c r="K821" s="4">
        <f>INDEX(products!$D$1:$D$49,MATCH($D821,products!$A$1:$A$49,0))</f>
        <v>0.2</v>
      </c>
      <c r="L821" s="5">
        <f>INDEX(products!$E$1:$E$49,MATCH($D821,products!$A$1:$A$49,0))</f>
        <v>4.7549999999999999</v>
      </c>
      <c r="M821" s="5">
        <f t="shared" si="12"/>
        <v>4.7549999999999999</v>
      </c>
      <c r="N821" t="str" cm="1">
        <f t="array" ref="N821">_xlfn.IFS(I821="Rob","Robusta",I821="Exc","Excelsa",I821="Ara","Arabica",I821="Lib","Liberica")</f>
        <v>Liberica</v>
      </c>
      <c r="O821" t="str" cm="1">
        <f t="array" ref="O821">_xlfn.SWITCH($J821,"M","Medium","L","Light","D","Dark")</f>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IF(_xlfn.XLOOKUP(C822,customers!$A$1:$A$1001,customers!$C$1:$C$1001,,0)=0,"Not _Provided",_xlfn.XLOOKUP(C822,customers!$A$1:$A$1001,customers!$C$1:$C$1001,,0))</f>
        <v>estentonms@google.it</v>
      </c>
      <c r="H822" s="2" t="str">
        <f>_xlfn.XLOOKUP(C822,customers!$A$1:$A$1001,customers!$G$1:$G$1001,,0)</f>
        <v>United States</v>
      </c>
      <c r="I822" t="str">
        <f>INDEX(products!$B$1:$B$49,MATCH($D822,products!$A$1:$A$49,0))</f>
        <v>Exc</v>
      </c>
      <c r="J822" t="str">
        <f>INDEX(products!$C$1:$C$49,MATCH($D822,products!$A$1:$A$49,0))</f>
        <v>M</v>
      </c>
      <c r="K822" s="4">
        <f>INDEX(products!$D$1:$D$49,MATCH($D822,products!$A$1:$A$49,0))</f>
        <v>1</v>
      </c>
      <c r="L822" s="5">
        <f>INDEX(products!$E$1:$E$49,MATCH($D822,products!$A$1:$A$49,0))</f>
        <v>13.75</v>
      </c>
      <c r="M822" s="5">
        <f t="shared" si="12"/>
        <v>55</v>
      </c>
      <c r="N822" t="str" cm="1">
        <f t="array" ref="N822">_xlfn.IFS(I822="Rob","Robusta",I822="Exc","Excelsa",I822="Ara","Arabica",I822="Lib","Liberica")</f>
        <v>Excelsa</v>
      </c>
      <c r="O822" t="str" cm="1">
        <f t="array" ref="O822">_xlfn.SWITCH($J822,"M","Medium","L","Light","D","Dark")</f>
        <v>Medium</v>
      </c>
      <c r="P822" t="str">
        <f>_xlfn.XLOOKUP(Table1[[#This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IF(_xlfn.XLOOKUP(C823,customers!$A$1:$A$1001,customers!$C$1:$C$1001,,0)=0,"Not _Provided",_xlfn.XLOOKUP(C823,customers!$A$1:$A$1001,customers!$C$1:$C$1001,,0))</f>
        <v>etrippmt@wp.com</v>
      </c>
      <c r="H823" s="2" t="str">
        <f>_xlfn.XLOOKUP(C823,customers!$A$1:$A$1001,customers!$G$1:$G$1001,,0)</f>
        <v>United States</v>
      </c>
      <c r="I823" t="str">
        <f>INDEX(products!$B$1:$B$49,MATCH($D823,products!$A$1:$A$49,0))</f>
        <v>Rob</v>
      </c>
      <c r="J823" t="str">
        <f>INDEX(products!$C$1:$C$49,MATCH($D823,products!$A$1:$A$49,0))</f>
        <v>D</v>
      </c>
      <c r="K823" s="4">
        <f>INDEX(products!$D$1:$D$49,MATCH($D823,products!$A$1:$A$49,0))</f>
        <v>0.5</v>
      </c>
      <c r="L823" s="5">
        <f>INDEX(products!$E$1:$E$49,MATCH($D823,products!$A$1:$A$49,0))</f>
        <v>5.3699999999999992</v>
      </c>
      <c r="M823" s="5">
        <f t="shared" si="12"/>
        <v>26.849999999999994</v>
      </c>
      <c r="N823" t="str" cm="1">
        <f t="array" ref="N823">_xlfn.IFS(I823="Rob","Robusta",I823="Exc","Excelsa",I823="Ara","Arabica",I823="Lib","Liberica")</f>
        <v>Robusta</v>
      </c>
      <c r="O823" t="str" cm="1">
        <f t="array" ref="O823">_xlfn.SWITCH($J823,"M","Medium","L","Light","D","Dark")</f>
        <v>Dark</v>
      </c>
      <c r="P823" t="str">
        <f>_xlfn.XLOOKUP(Table1[[#This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IF(_xlfn.XLOOKUP(C824,customers!$A$1:$A$1001,customers!$C$1:$C$1001,,0)=0,"Not _Provided",_xlfn.XLOOKUP(C824,customers!$A$1:$A$1001,customers!$C$1:$C$1001,,0))</f>
        <v>lmacmanusmu@imdb.com</v>
      </c>
      <c r="H824" s="2" t="str">
        <f>_xlfn.XLOOKUP(C824,customers!$A$1:$A$1001,customers!$G$1:$G$1001,,0)</f>
        <v>United States</v>
      </c>
      <c r="I824" t="str">
        <f>INDEX(products!$B$1:$B$49,MATCH($D824,products!$A$1:$A$49,0))</f>
        <v>Exc</v>
      </c>
      <c r="J824" t="str">
        <f>INDEX(products!$C$1:$C$49,MATCH($D824,products!$A$1:$A$49,0))</f>
        <v>L</v>
      </c>
      <c r="K824" s="4">
        <f>INDEX(products!$D$1:$D$49,MATCH($D824,products!$A$1:$A$49,0))</f>
        <v>2.5</v>
      </c>
      <c r="L824" s="5">
        <f>INDEX(products!$E$1:$E$49,MATCH($D824,products!$A$1:$A$49,0))</f>
        <v>34.154999999999994</v>
      </c>
      <c r="M824" s="5">
        <f t="shared" si="12"/>
        <v>136.61999999999998</v>
      </c>
      <c r="N824" t="str" cm="1">
        <f t="array" ref="N824">_xlfn.IFS(I824="Rob","Robusta",I824="Exc","Excelsa",I824="Ara","Arabica",I824="Lib","Liberica")</f>
        <v>Excelsa</v>
      </c>
      <c r="O824" t="str" cm="1">
        <f t="array" ref="O824">_xlfn.SWITCH($J824,"M","Medium","L","Light","D","Dark")</f>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IF(_xlfn.XLOOKUP(C825,customers!$A$1:$A$1001,customers!$C$1:$C$1001,,0)=0,"Not _Provided",_xlfn.XLOOKUP(C825,customers!$A$1:$A$1001,customers!$C$1:$C$1001,,0))</f>
        <v>tbenediktovichmv@ebay.com</v>
      </c>
      <c r="H825" s="2" t="str">
        <f>_xlfn.XLOOKUP(C825,customers!$A$1:$A$1001,customers!$G$1:$G$1001,,0)</f>
        <v>United States</v>
      </c>
      <c r="I825" t="str">
        <f>INDEX(products!$B$1:$B$49,MATCH($D825,products!$A$1:$A$49,0))</f>
        <v>Lib</v>
      </c>
      <c r="J825" t="str">
        <f>INDEX(products!$C$1:$C$49,MATCH($D825,products!$A$1:$A$49,0))</f>
        <v>L</v>
      </c>
      <c r="K825" s="4">
        <f>INDEX(products!$D$1:$D$49,MATCH($D825,products!$A$1:$A$49,0))</f>
        <v>1</v>
      </c>
      <c r="L825" s="5">
        <f>INDEX(products!$E$1:$E$49,MATCH($D825,products!$A$1:$A$49,0))</f>
        <v>15.85</v>
      </c>
      <c r="M825" s="5">
        <f t="shared" si="12"/>
        <v>47.55</v>
      </c>
      <c r="N825" t="str" cm="1">
        <f t="array" ref="N825">_xlfn.IFS(I825="Rob","Robusta",I825="Exc","Excelsa",I825="Ara","Arabica",I825="Lib","Liberica")</f>
        <v>Liberica</v>
      </c>
      <c r="O825" t="str" cm="1">
        <f t="array" ref="O825">_xlfn.SWITCH($J825,"M","Medium","L","Light","D","Dark")</f>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IF(_xlfn.XLOOKUP(C826,customers!$A$1:$A$1001,customers!$C$1:$C$1001,,0)=0,"Not _Provided",_xlfn.XLOOKUP(C826,customers!$A$1:$A$1001,customers!$C$1:$C$1001,,0))</f>
        <v>cbournermw@chronoengine.com</v>
      </c>
      <c r="H826" s="2" t="str">
        <f>_xlfn.XLOOKUP(C826,customers!$A$1:$A$1001,customers!$G$1:$G$1001,,0)</f>
        <v>United States</v>
      </c>
      <c r="I826" t="str">
        <f>INDEX(products!$B$1:$B$49,MATCH($D826,products!$A$1:$A$49,0))</f>
        <v>Ara</v>
      </c>
      <c r="J826" t="str">
        <f>INDEX(products!$C$1:$C$49,MATCH($D826,products!$A$1:$A$49,0))</f>
        <v>M</v>
      </c>
      <c r="K826" s="4">
        <f>INDEX(products!$D$1:$D$49,MATCH($D826,products!$A$1:$A$49,0))</f>
        <v>0.2</v>
      </c>
      <c r="L826" s="5">
        <f>INDEX(products!$E$1:$E$49,MATCH($D826,products!$A$1:$A$49,0))</f>
        <v>3.375</v>
      </c>
      <c r="M826" s="5">
        <f t="shared" si="12"/>
        <v>16.875</v>
      </c>
      <c r="N826" t="str" cm="1">
        <f t="array" ref="N826">_xlfn.IFS(I826="Rob","Robusta",I826="Exc","Excelsa",I826="Ara","Arabica",I826="Lib","Liberica")</f>
        <v>Arabica</v>
      </c>
      <c r="O826" t="str" cm="1">
        <f t="array" ref="O826">_xlfn.SWITCH($J826,"M","Medium","L","Light","D","Dark")</f>
        <v>Medium</v>
      </c>
      <c r="P826" t="str">
        <f>_xlfn.XLOOKUP(Table1[[#This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IF(_xlfn.XLOOKUP(C827,customers!$A$1:$A$1001,customers!$C$1:$C$1001,,0)=0,"Not _Provided",_xlfn.XLOOKUP(C827,customers!$A$1:$A$1001,customers!$C$1:$C$1001,,0))</f>
        <v>oskermen3@hatena.ne.jp</v>
      </c>
      <c r="H827" s="2" t="str">
        <f>_xlfn.XLOOKUP(C827,customers!$A$1:$A$1001,customers!$G$1:$G$1001,,0)</f>
        <v>United States</v>
      </c>
      <c r="I827" t="str">
        <f>INDEX(products!$B$1:$B$49,MATCH($D827,products!$A$1:$A$49,0))</f>
        <v>Ara</v>
      </c>
      <c r="J827" t="str">
        <f>INDEX(products!$C$1:$C$49,MATCH($D827,products!$A$1:$A$49,0))</f>
        <v>D</v>
      </c>
      <c r="K827" s="4">
        <f>INDEX(products!$D$1:$D$49,MATCH($D827,products!$A$1:$A$49,0))</f>
        <v>1</v>
      </c>
      <c r="L827" s="5">
        <f>INDEX(products!$E$1:$E$49,MATCH($D827,products!$A$1:$A$49,0))</f>
        <v>9.9499999999999993</v>
      </c>
      <c r="M827" s="5">
        <f t="shared" si="12"/>
        <v>29.849999999999998</v>
      </c>
      <c r="N827" t="str" cm="1">
        <f t="array" ref="N827">_xlfn.IFS(I827="Rob","Robusta",I827="Exc","Excelsa",I827="Ara","Arabica",I827="Lib","Liberica")</f>
        <v>Arabica</v>
      </c>
      <c r="O827" t="str" cm="1">
        <f t="array" ref="O827">_xlfn.SWITCH($J827,"M","Medium","L","Light","D","Dark")</f>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IF(_xlfn.XLOOKUP(C828,customers!$A$1:$A$1001,customers!$C$1:$C$1001,,0)=0,"Not _Provided",_xlfn.XLOOKUP(C828,customers!$A$1:$A$1001,customers!$C$1:$C$1001,,0))</f>
        <v>kheddanmy@icq.com</v>
      </c>
      <c r="H828" s="2" t="str">
        <f>_xlfn.XLOOKUP(C828,customers!$A$1:$A$1001,customers!$G$1:$G$1001,,0)</f>
        <v>United States</v>
      </c>
      <c r="I828" t="str">
        <f>INDEX(products!$B$1:$B$49,MATCH($D828,products!$A$1:$A$49,0))</f>
        <v>Exc</v>
      </c>
      <c r="J828" t="str">
        <f>INDEX(products!$C$1:$C$49,MATCH($D828,products!$A$1:$A$49,0))</f>
        <v>M</v>
      </c>
      <c r="K828" s="4">
        <f>INDEX(products!$D$1:$D$49,MATCH($D828,products!$A$1:$A$49,0))</f>
        <v>0.5</v>
      </c>
      <c r="L828" s="5">
        <f>INDEX(products!$E$1:$E$49,MATCH($D828,products!$A$1:$A$49,0))</f>
        <v>8.25</v>
      </c>
      <c r="M828" s="5">
        <f t="shared" si="12"/>
        <v>41.25</v>
      </c>
      <c r="N828" t="str" cm="1">
        <f t="array" ref="N828">_xlfn.IFS(I828="Rob","Robusta",I828="Exc","Excelsa",I828="Ara","Arabica",I828="Lib","Liberica")</f>
        <v>Excelsa</v>
      </c>
      <c r="O828" t="str" cm="1">
        <f t="array" ref="O828">_xlfn.SWITCH($J828,"M","Medium","L","Light","D","Dark")</f>
        <v>Medium</v>
      </c>
      <c r="P828" t="str">
        <f>_xlfn.XLOOKUP(Table1[[#This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IF(_xlfn.XLOOKUP(C829,customers!$A$1:$A$1001,customers!$C$1:$C$1001,,0)=0,"Not _Provided",_xlfn.XLOOKUP(C829,customers!$A$1:$A$1001,customers!$C$1:$C$1001,,0))</f>
        <v>ichartersmz@abc.net.au</v>
      </c>
      <c r="H829" s="2" t="str">
        <f>_xlfn.XLOOKUP(C829,customers!$A$1:$A$1001,customers!$G$1:$G$1001,,0)</f>
        <v>United States</v>
      </c>
      <c r="I829" t="str">
        <f>INDEX(products!$B$1:$B$49,MATCH($D829,products!$A$1:$A$49,0))</f>
        <v>Exc</v>
      </c>
      <c r="J829" t="str">
        <f>INDEX(products!$C$1:$C$49,MATCH($D829,products!$A$1:$A$49,0))</f>
        <v>M</v>
      </c>
      <c r="K829" s="4">
        <f>INDEX(products!$D$1:$D$49,MATCH($D829,products!$A$1:$A$49,0))</f>
        <v>0.2</v>
      </c>
      <c r="L829" s="5">
        <f>INDEX(products!$E$1:$E$49,MATCH($D829,products!$A$1:$A$49,0))</f>
        <v>4.125</v>
      </c>
      <c r="M829" s="5">
        <f t="shared" si="12"/>
        <v>20.625</v>
      </c>
      <c r="N829" t="str" cm="1">
        <f t="array" ref="N829">_xlfn.IFS(I829="Rob","Robusta",I829="Exc","Excelsa",I829="Ara","Arabica",I829="Lib","Liberica")</f>
        <v>Excelsa</v>
      </c>
      <c r="O829" t="str" cm="1">
        <f t="array" ref="O829">_xlfn.SWITCH($J829,"M","Medium","L","Light","D","Dark")</f>
        <v>Medium</v>
      </c>
      <c r="P829" t="str">
        <f>_xlfn.XLOOKUP(Table1[[#This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IF(_xlfn.XLOOKUP(C830,customers!$A$1:$A$1001,customers!$C$1:$C$1001,,0)=0,"Not _Provided",_xlfn.XLOOKUP(C830,customers!$A$1:$A$1001,customers!$C$1:$C$1001,,0))</f>
        <v>aroubertn0@tmall.com</v>
      </c>
      <c r="H830" s="2" t="str">
        <f>_xlfn.XLOOKUP(C830,customers!$A$1:$A$1001,customers!$G$1:$G$1001,,0)</f>
        <v>United States</v>
      </c>
      <c r="I830" t="str">
        <f>INDEX(products!$B$1:$B$49,MATCH($D830,products!$A$1:$A$49,0))</f>
        <v>Ara</v>
      </c>
      <c r="J830" t="str">
        <f>INDEX(products!$C$1:$C$49,MATCH($D830,products!$A$1:$A$49,0))</f>
        <v>D</v>
      </c>
      <c r="K830" s="4">
        <f>INDEX(products!$D$1:$D$49,MATCH($D830,products!$A$1:$A$49,0))</f>
        <v>2.5</v>
      </c>
      <c r="L830" s="5">
        <f>INDEX(products!$E$1:$E$49,MATCH($D830,products!$A$1:$A$49,0))</f>
        <v>22.884999999999998</v>
      </c>
      <c r="M830" s="5">
        <f t="shared" si="12"/>
        <v>137.31</v>
      </c>
      <c r="N830" t="str" cm="1">
        <f t="array" ref="N830">_xlfn.IFS(I830="Rob","Robusta",I830="Exc","Excelsa",I830="Ara","Arabica",I830="Lib","Liberica")</f>
        <v>Arabica</v>
      </c>
      <c r="O830" t="str" cm="1">
        <f t="array" ref="O830">_xlfn.SWITCH($J830,"M","Medium","L","Light","D","Dark")</f>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IF(_xlfn.XLOOKUP(C831,customers!$A$1:$A$1001,customers!$C$1:$C$1001,,0)=0,"Not _Provided",_xlfn.XLOOKUP(C831,customers!$A$1:$A$1001,customers!$C$1:$C$1001,,0))</f>
        <v>hmairsn1@so-net.ne.jp</v>
      </c>
      <c r="H831" s="2" t="str">
        <f>_xlfn.XLOOKUP(C831,customers!$A$1:$A$1001,customers!$G$1:$G$1001,,0)</f>
        <v>United States</v>
      </c>
      <c r="I831" t="str">
        <f>INDEX(products!$B$1:$B$49,MATCH($D831,products!$A$1:$A$49,0))</f>
        <v>Ara</v>
      </c>
      <c r="J831" t="str">
        <f>INDEX(products!$C$1:$C$49,MATCH($D831,products!$A$1:$A$49,0))</f>
        <v>D</v>
      </c>
      <c r="K831" s="4">
        <f>INDEX(products!$D$1:$D$49,MATCH($D831,products!$A$1:$A$49,0))</f>
        <v>0.2</v>
      </c>
      <c r="L831" s="5">
        <f>INDEX(products!$E$1:$E$49,MATCH($D831,products!$A$1:$A$49,0))</f>
        <v>2.9849999999999999</v>
      </c>
      <c r="M831" s="5">
        <f t="shared" si="12"/>
        <v>2.9849999999999999</v>
      </c>
      <c r="N831" t="str" cm="1">
        <f t="array" ref="N831">_xlfn.IFS(I831="Rob","Robusta",I831="Exc","Excelsa",I831="Ara","Arabica",I831="Lib","Liberica")</f>
        <v>Arabica</v>
      </c>
      <c r="O831" t="str" cm="1">
        <f t="array" ref="O831">_xlfn.SWITCH($J831,"M","Medium","L","Light","D","Dark")</f>
        <v>Dark</v>
      </c>
      <c r="P831" t="str">
        <f>_xlfn.XLOOKUP(Table1[[#This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IF(_xlfn.XLOOKUP(C832,customers!$A$1:$A$1001,customers!$C$1:$C$1001,,0)=0,"Not _Provided",_xlfn.XLOOKUP(C832,customers!$A$1:$A$1001,customers!$C$1:$C$1001,,0))</f>
        <v>hrainforthn2@blog.com</v>
      </c>
      <c r="H832" s="2" t="str">
        <f>_xlfn.XLOOKUP(C832,customers!$A$1:$A$1001,customers!$G$1:$G$1001,,0)</f>
        <v>United States</v>
      </c>
      <c r="I832" t="str">
        <f>INDEX(products!$B$1:$B$49,MATCH($D832,products!$A$1:$A$49,0))</f>
        <v>Exc</v>
      </c>
      <c r="J832" t="str">
        <f>INDEX(products!$C$1:$C$49,MATCH($D832,products!$A$1:$A$49,0))</f>
        <v>M</v>
      </c>
      <c r="K832" s="4">
        <f>INDEX(products!$D$1:$D$49,MATCH($D832,products!$A$1:$A$49,0))</f>
        <v>1</v>
      </c>
      <c r="L832" s="5">
        <f>INDEX(products!$E$1:$E$49,MATCH($D832,products!$A$1:$A$49,0))</f>
        <v>13.75</v>
      </c>
      <c r="M832" s="5">
        <f t="shared" si="12"/>
        <v>27.5</v>
      </c>
      <c r="N832" t="str" cm="1">
        <f t="array" ref="N832">_xlfn.IFS(I832="Rob","Robusta",I832="Exc","Excelsa",I832="Ara","Arabica",I832="Lib","Liberica")</f>
        <v>Excelsa</v>
      </c>
      <c r="O832" t="str" cm="1">
        <f t="array" ref="O832">_xlfn.SWITCH($J832,"M","Medium","L","Light","D","Dark")</f>
        <v>Medium</v>
      </c>
      <c r="P832" t="str">
        <f>_xlfn.XLOOKUP(Table1[[#This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IF(_xlfn.XLOOKUP(C833,customers!$A$1:$A$1001,customers!$C$1:$C$1001,,0)=0,"Not _Provided",_xlfn.XLOOKUP(C833,customers!$A$1:$A$1001,customers!$C$1:$C$1001,,0))</f>
        <v>hrainforthn2@blog.com</v>
      </c>
      <c r="H833" s="2" t="str">
        <f>_xlfn.XLOOKUP(C833,customers!$A$1:$A$1001,customers!$G$1:$G$1001,,0)</f>
        <v>United States</v>
      </c>
      <c r="I833" t="str">
        <f>INDEX(products!$B$1:$B$49,MATCH($D833,products!$A$1:$A$49,0))</f>
        <v>Ara</v>
      </c>
      <c r="J833" t="str">
        <f>INDEX(products!$C$1:$C$49,MATCH($D833,products!$A$1:$A$49,0))</f>
        <v>D</v>
      </c>
      <c r="K833" s="4">
        <f>INDEX(products!$D$1:$D$49,MATCH($D833,products!$A$1:$A$49,0))</f>
        <v>0.2</v>
      </c>
      <c r="L833" s="5">
        <f>INDEX(products!$E$1:$E$49,MATCH($D833,products!$A$1:$A$49,0))</f>
        <v>2.9849999999999999</v>
      </c>
      <c r="M833" s="5">
        <f t="shared" si="12"/>
        <v>5.97</v>
      </c>
      <c r="N833" t="str" cm="1">
        <f t="array" ref="N833">_xlfn.IFS(I833="Rob","Robusta",I833="Exc","Excelsa",I833="Ara","Arabica",I833="Lib","Liberica")</f>
        <v>Arabica</v>
      </c>
      <c r="O833" t="str" cm="1">
        <f t="array" ref="O833">_xlfn.SWITCH($J833,"M","Medium","L","Light","D","Dark")</f>
        <v>Dark</v>
      </c>
      <c r="P833" t="str">
        <f>_xlfn.XLOOKUP(Table1[[#This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IF(_xlfn.XLOOKUP(C834,customers!$A$1:$A$1001,customers!$C$1:$C$1001,,0)=0,"Not _Provided",_xlfn.XLOOKUP(C834,customers!$A$1:$A$1001,customers!$C$1:$C$1001,,0))</f>
        <v>ijespern4@theglobeandmail.com</v>
      </c>
      <c r="H834" s="2" t="str">
        <f>_xlfn.XLOOKUP(C834,customers!$A$1:$A$1001,customers!$G$1:$G$1001,,0)</f>
        <v>United States</v>
      </c>
      <c r="I834" t="str">
        <f>INDEX(products!$B$1:$B$49,MATCH($D834,products!$A$1:$A$49,0))</f>
        <v>Rob</v>
      </c>
      <c r="J834" t="str">
        <f>INDEX(products!$C$1:$C$49,MATCH($D834,products!$A$1:$A$49,0))</f>
        <v>M</v>
      </c>
      <c r="K834" s="4">
        <f>INDEX(products!$D$1:$D$49,MATCH($D834,products!$A$1:$A$49,0))</f>
        <v>1</v>
      </c>
      <c r="L834" s="5">
        <f>INDEX(products!$E$1:$E$49,MATCH($D834,products!$A$1:$A$49,0))</f>
        <v>9.9499999999999993</v>
      </c>
      <c r="M834" s="5">
        <f t="shared" si="12"/>
        <v>59.699999999999996</v>
      </c>
      <c r="N834" t="str" cm="1">
        <f t="array" ref="N834">_xlfn.IFS(I834="Rob","Robusta",I834="Exc","Excelsa",I834="Ara","Arabica",I834="Lib","Liberica")</f>
        <v>Robusta</v>
      </c>
      <c r="O834" t="str" cm="1">
        <f t="array" ref="O834">_xlfn.SWITCH($J834,"M","Medium","L","Light","D","Dark")</f>
        <v>Medium</v>
      </c>
      <c r="P834" t="str">
        <f>_xlfn.XLOOKUP(Table1[[#This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IF(_xlfn.XLOOKUP(C835,customers!$A$1:$A$1001,customers!$C$1:$C$1001,,0)=0,"Not _Provided",_xlfn.XLOOKUP(C835,customers!$A$1:$A$1001,customers!$C$1:$C$1001,,0))</f>
        <v>ldwerryhousen5@gravatar.com</v>
      </c>
      <c r="H835" s="2" t="str">
        <f>_xlfn.XLOOKUP(C835,customers!$A$1:$A$1001,customers!$G$1:$G$1001,,0)</f>
        <v>United States</v>
      </c>
      <c r="I835" t="str">
        <f>INDEX(products!$B$1:$B$49,MATCH($D835,products!$A$1:$A$49,0))</f>
        <v>Rob</v>
      </c>
      <c r="J835" t="str">
        <f>INDEX(products!$C$1:$C$49,MATCH($D835,products!$A$1:$A$49,0))</f>
        <v>D</v>
      </c>
      <c r="K835" s="4">
        <f>INDEX(products!$D$1:$D$49,MATCH($D835,products!$A$1:$A$49,0))</f>
        <v>2.5</v>
      </c>
      <c r="L835" s="5">
        <f>INDEX(products!$E$1:$E$49,MATCH($D835,products!$A$1:$A$49,0))</f>
        <v>20.584999999999997</v>
      </c>
      <c r="M835" s="5">
        <f t="shared" ref="M835:M898" si="13">E835*L835</f>
        <v>82.339999999999989</v>
      </c>
      <c r="N835" t="str" cm="1">
        <f t="array" ref="N835">_xlfn.IFS(I835="Rob","Robusta",I835="Exc","Excelsa",I835="Ara","Arabica",I835="Lib","Liberica")</f>
        <v>Robusta</v>
      </c>
      <c r="O835" t="str" cm="1">
        <f t="array" ref="O835">_xlfn.SWITCH($J835,"M","Medium","L","Light","D","Dark")</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IF(_xlfn.XLOOKUP(C836,customers!$A$1:$A$1001,customers!$C$1:$C$1001,,0)=0,"Not _Provided",_xlfn.XLOOKUP(C836,customers!$A$1:$A$1001,customers!$C$1:$C$1001,,0))</f>
        <v>nbroomern6@examiner.com</v>
      </c>
      <c r="H836" s="2" t="str">
        <f>_xlfn.XLOOKUP(C836,customers!$A$1:$A$1001,customers!$G$1:$G$1001,,0)</f>
        <v>United States</v>
      </c>
      <c r="I836" t="str">
        <f>INDEX(products!$B$1:$B$49,MATCH($D836,products!$A$1:$A$49,0))</f>
        <v>Ara</v>
      </c>
      <c r="J836" t="str">
        <f>INDEX(products!$C$1:$C$49,MATCH($D836,products!$A$1:$A$49,0))</f>
        <v>D</v>
      </c>
      <c r="K836" s="4">
        <f>INDEX(products!$D$1:$D$49,MATCH($D836,products!$A$1:$A$49,0))</f>
        <v>2.5</v>
      </c>
      <c r="L836" s="5">
        <f>INDEX(products!$E$1:$E$49,MATCH($D836,products!$A$1:$A$49,0))</f>
        <v>22.884999999999998</v>
      </c>
      <c r="M836" s="5">
        <f t="shared" si="13"/>
        <v>22.884999999999998</v>
      </c>
      <c r="N836" t="str" cm="1">
        <f t="array" ref="N836">_xlfn.IFS(I836="Rob","Robusta",I836="Exc","Excelsa",I836="Ara","Arabica",I836="Lib","Liberica")</f>
        <v>Arabica</v>
      </c>
      <c r="O836" t="str" cm="1">
        <f t="array" ref="O836">_xlfn.SWITCH($J836,"M","Medium","L","Light","D","Dark")</f>
        <v>Dark</v>
      </c>
      <c r="P836" t="str">
        <f>_xlfn.XLOOKUP(Table1[[#This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IF(_xlfn.XLOOKUP(C837,customers!$A$1:$A$1001,customers!$C$1:$C$1001,,0)=0,"Not _Provided",_xlfn.XLOOKUP(C837,customers!$A$1:$A$1001,customers!$C$1:$C$1001,,0))</f>
        <v>kthoumassonn7@bloglovin.com</v>
      </c>
      <c r="H837" s="2" t="str">
        <f>_xlfn.XLOOKUP(C837,customers!$A$1:$A$1001,customers!$G$1:$G$1001,,0)</f>
        <v>United States</v>
      </c>
      <c r="I837" t="str">
        <f>INDEX(products!$B$1:$B$49,MATCH($D837,products!$A$1:$A$49,0))</f>
        <v>Exc</v>
      </c>
      <c r="J837" t="str">
        <f>INDEX(products!$C$1:$C$49,MATCH($D837,products!$A$1:$A$49,0))</f>
        <v>L</v>
      </c>
      <c r="K837" s="4">
        <f>INDEX(products!$D$1:$D$49,MATCH($D837,products!$A$1:$A$49,0))</f>
        <v>0.5</v>
      </c>
      <c r="L837" s="5">
        <f>INDEX(products!$E$1:$E$49,MATCH($D837,products!$A$1:$A$49,0))</f>
        <v>8.91</v>
      </c>
      <c r="M837" s="5">
        <f t="shared" si="13"/>
        <v>8.91</v>
      </c>
      <c r="N837" t="str" cm="1">
        <f t="array" ref="N837">_xlfn.IFS(I837="Rob","Robusta",I837="Exc","Excelsa",I837="Ara","Arabica",I837="Lib","Liberica")</f>
        <v>Excelsa</v>
      </c>
      <c r="O837" t="str" cm="1">
        <f t="array" ref="O837">_xlfn.SWITCH($J837,"M","Medium","L","Light","D","Dark")</f>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IF(_xlfn.XLOOKUP(C838,customers!$A$1:$A$1001,customers!$C$1:$C$1001,,0)=0,"Not _Provided",_xlfn.XLOOKUP(C838,customers!$A$1:$A$1001,customers!$C$1:$C$1001,,0))</f>
        <v>fhabberghamn8@discovery.com</v>
      </c>
      <c r="H838" s="2" t="str">
        <f>_xlfn.XLOOKUP(C838,customers!$A$1:$A$1001,customers!$G$1:$G$1001,,0)</f>
        <v>United States</v>
      </c>
      <c r="I838" t="str">
        <f>INDEX(products!$B$1:$B$49,MATCH($D838,products!$A$1:$A$49,0))</f>
        <v>Ara</v>
      </c>
      <c r="J838" t="str">
        <f>INDEX(products!$C$1:$C$49,MATCH($D838,products!$A$1:$A$49,0))</f>
        <v>D</v>
      </c>
      <c r="K838" s="4">
        <f>INDEX(products!$D$1:$D$49,MATCH($D838,products!$A$1:$A$49,0))</f>
        <v>0.2</v>
      </c>
      <c r="L838" s="5">
        <f>INDEX(products!$E$1:$E$49,MATCH($D838,products!$A$1:$A$49,0))</f>
        <v>2.9849999999999999</v>
      </c>
      <c r="M838" s="5">
        <f t="shared" si="13"/>
        <v>11.94</v>
      </c>
      <c r="N838" t="str" cm="1">
        <f t="array" ref="N838">_xlfn.IFS(I838="Rob","Robusta",I838="Exc","Excelsa",I838="Ara","Arabica",I838="Lib","Liberica")</f>
        <v>Arabica</v>
      </c>
      <c r="O838" t="str" cm="1">
        <f t="array" ref="O838">_xlfn.SWITCH($J838,"M","Medium","L","Light","D","Dark")</f>
        <v>Dark</v>
      </c>
      <c r="P838" t="str">
        <f>_xlfn.XLOOKUP(Table1[[#This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IF(_xlfn.XLOOKUP(C839,customers!$A$1:$A$1001,customers!$C$1:$C$1001,,0)=0,"Not _Provided",_xlfn.XLOOKUP(C839,customers!$A$1:$A$1001,customers!$C$1:$C$1001,,0))</f>
        <v>Not _Provided</v>
      </c>
      <c r="H839" s="2" t="str">
        <f>_xlfn.XLOOKUP(C839,customers!$A$1:$A$1001,customers!$G$1:$G$1001,,0)</f>
        <v>United States</v>
      </c>
      <c r="I839" t="str">
        <f>INDEX(products!$B$1:$B$49,MATCH($D839,products!$A$1:$A$49,0))</f>
        <v>Lib</v>
      </c>
      <c r="J839" t="str">
        <f>INDEX(products!$C$1:$C$49,MATCH($D839,products!$A$1:$A$49,0))</f>
        <v>M</v>
      </c>
      <c r="K839" s="4">
        <f>INDEX(products!$D$1:$D$49,MATCH($D839,products!$A$1:$A$49,0))</f>
        <v>2.5</v>
      </c>
      <c r="L839" s="5">
        <f>INDEX(products!$E$1:$E$49,MATCH($D839,products!$A$1:$A$49,0))</f>
        <v>33.464999999999996</v>
      </c>
      <c r="M839" s="5">
        <f t="shared" si="13"/>
        <v>100.39499999999998</v>
      </c>
      <c r="N839" t="str" cm="1">
        <f t="array" ref="N839">_xlfn.IFS(I839="Rob","Robusta",I839="Exc","Excelsa",I839="Ara","Arabica",I839="Lib","Liberica")</f>
        <v>Liberica</v>
      </c>
      <c r="O839" t="str" cm="1">
        <f t="array" ref="O839">_xlfn.SWITCH($J839,"M","Medium","L","Light","D","Dark")</f>
        <v>Medium</v>
      </c>
      <c r="P839" t="str">
        <f>_xlfn.XLOOKUP(Table1[[#This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IF(_xlfn.XLOOKUP(C840,customers!$A$1:$A$1001,customers!$C$1:$C$1001,,0)=0,"Not _Provided",_xlfn.XLOOKUP(C840,customers!$A$1:$A$1001,customers!$C$1:$C$1001,,0))</f>
        <v>ravrashinna@tamu.edu</v>
      </c>
      <c r="H840" s="2" t="str">
        <f>_xlfn.XLOOKUP(C840,customers!$A$1:$A$1001,customers!$G$1:$G$1001,,0)</f>
        <v>United States</v>
      </c>
      <c r="I840" t="str">
        <f>INDEX(products!$B$1:$B$49,MATCH($D840,products!$A$1:$A$49,0))</f>
        <v>Ara</v>
      </c>
      <c r="J840" t="str">
        <f>INDEX(products!$C$1:$C$49,MATCH($D840,products!$A$1:$A$49,0))</f>
        <v>D</v>
      </c>
      <c r="K840" s="4">
        <f>INDEX(products!$D$1:$D$49,MATCH($D840,products!$A$1:$A$49,0))</f>
        <v>2.5</v>
      </c>
      <c r="L840" s="5">
        <f>INDEX(products!$E$1:$E$49,MATCH($D840,products!$A$1:$A$49,0))</f>
        <v>22.884999999999998</v>
      </c>
      <c r="M840" s="5">
        <f t="shared" si="13"/>
        <v>114.42499999999998</v>
      </c>
      <c r="N840" t="str" cm="1">
        <f t="array" ref="N840">_xlfn.IFS(I840="Rob","Robusta",I840="Exc","Excelsa",I840="Ara","Arabica",I840="Lib","Liberica")</f>
        <v>Arabica</v>
      </c>
      <c r="O840" t="str" cm="1">
        <f t="array" ref="O840">_xlfn.SWITCH($J840,"M","Medium","L","Light","D","Dark")</f>
        <v>Dark</v>
      </c>
      <c r="P840" t="str">
        <f>_xlfn.XLOOKUP(Table1[[#This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IF(_xlfn.XLOOKUP(C841,customers!$A$1:$A$1001,customers!$C$1:$C$1001,,0)=0,"Not _Provided",_xlfn.XLOOKUP(C841,customers!$A$1:$A$1001,customers!$C$1:$C$1001,,0))</f>
        <v>mdoidgenb@etsy.com</v>
      </c>
      <c r="H841" s="2" t="str">
        <f>_xlfn.XLOOKUP(C841,customers!$A$1:$A$1001,customers!$G$1:$G$1001,,0)</f>
        <v>United States</v>
      </c>
      <c r="I841" t="str">
        <f>INDEX(products!$B$1:$B$49,MATCH($D841,products!$A$1:$A$49,0))</f>
        <v>Exc</v>
      </c>
      <c r="J841" t="str">
        <f>INDEX(products!$C$1:$C$49,MATCH($D841,products!$A$1:$A$49,0))</f>
        <v>M</v>
      </c>
      <c r="K841" s="4">
        <f>INDEX(products!$D$1:$D$49,MATCH($D841,products!$A$1:$A$49,0))</f>
        <v>0.5</v>
      </c>
      <c r="L841" s="5">
        <f>INDEX(products!$E$1:$E$49,MATCH($D841,products!$A$1:$A$49,0))</f>
        <v>8.25</v>
      </c>
      <c r="M841" s="5">
        <f t="shared" si="13"/>
        <v>41.25</v>
      </c>
      <c r="N841" t="str" cm="1">
        <f t="array" ref="N841">_xlfn.IFS(I841="Rob","Robusta",I841="Exc","Excelsa",I841="Ara","Arabica",I841="Lib","Liberica")</f>
        <v>Excelsa</v>
      </c>
      <c r="O841" t="str" cm="1">
        <f t="array" ref="O841">_xlfn.SWITCH($J841,"M","Medium","L","Light","D","Dark")</f>
        <v>Medium</v>
      </c>
      <c r="P841" t="str">
        <f>_xlfn.XLOOKUP(Table1[[#This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IF(_xlfn.XLOOKUP(C842,customers!$A$1:$A$1001,customers!$C$1:$C$1001,,0)=0,"Not _Provided",_xlfn.XLOOKUP(C842,customers!$A$1:$A$1001,customers!$C$1:$C$1001,,0))</f>
        <v>jedinboronc@reverbnation.com</v>
      </c>
      <c r="H842" s="2" t="str">
        <f>_xlfn.XLOOKUP(C842,customers!$A$1:$A$1001,customers!$G$1:$G$1001,,0)</f>
        <v>United States</v>
      </c>
      <c r="I842" t="str">
        <f>INDEX(products!$B$1:$B$49,MATCH($D842,products!$A$1:$A$49,0))</f>
        <v>Rob</v>
      </c>
      <c r="J842" t="str">
        <f>INDEX(products!$C$1:$C$49,MATCH($D842,products!$A$1:$A$49,0))</f>
        <v>L</v>
      </c>
      <c r="K842" s="4">
        <f>INDEX(products!$D$1:$D$49,MATCH($D842,products!$A$1:$A$49,0))</f>
        <v>0.5</v>
      </c>
      <c r="L842" s="5">
        <f>INDEX(products!$E$1:$E$49,MATCH($D842,products!$A$1:$A$49,0))</f>
        <v>7.169999999999999</v>
      </c>
      <c r="M842" s="5">
        <f t="shared" si="13"/>
        <v>28.679999999999996</v>
      </c>
      <c r="N842" t="str" cm="1">
        <f t="array" ref="N842">_xlfn.IFS(I842="Rob","Robusta",I842="Exc","Excelsa",I842="Ara","Arabica",I842="Lib","Liberica")</f>
        <v>Robusta</v>
      </c>
      <c r="O842" t="str" cm="1">
        <f t="array" ref="O842">_xlfn.SWITCH($J842,"M","Medium","L","Light","D","Dark")</f>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IF(_xlfn.XLOOKUP(C843,customers!$A$1:$A$1001,customers!$C$1:$C$1001,,0)=0,"Not _Provided",_xlfn.XLOOKUP(C843,customers!$A$1:$A$1001,customers!$C$1:$C$1001,,0))</f>
        <v>ttewelsonnd@cdbaby.com</v>
      </c>
      <c r="H843" s="2" t="str">
        <f>_xlfn.XLOOKUP(C843,customers!$A$1:$A$1001,customers!$G$1:$G$1001,,0)</f>
        <v>United States</v>
      </c>
      <c r="I843" t="str">
        <f>INDEX(products!$B$1:$B$49,MATCH($D843,products!$A$1:$A$49,0))</f>
        <v>Lib</v>
      </c>
      <c r="J843" t="str">
        <f>INDEX(products!$C$1:$C$49,MATCH($D843,products!$A$1:$A$49,0))</f>
        <v>M</v>
      </c>
      <c r="K843" s="4">
        <f>INDEX(products!$D$1:$D$49,MATCH($D843,products!$A$1:$A$49,0))</f>
        <v>0.2</v>
      </c>
      <c r="L843" s="5">
        <f>INDEX(products!$E$1:$E$49,MATCH($D843,products!$A$1:$A$49,0))</f>
        <v>4.3650000000000002</v>
      </c>
      <c r="M843" s="5">
        <f t="shared" si="13"/>
        <v>4.3650000000000002</v>
      </c>
      <c r="N843" t="str" cm="1">
        <f t="array" ref="N843">_xlfn.IFS(I843="Rob","Robusta",I843="Exc","Excelsa",I843="Ara","Arabica",I843="Lib","Liberica")</f>
        <v>Liberica</v>
      </c>
      <c r="O843" t="str" cm="1">
        <f t="array" ref="O843">_xlfn.SWITCH($J843,"M","Medium","L","Light","D","Dark")</f>
        <v>Medium</v>
      </c>
      <c r="P843" t="str">
        <f>_xlfn.XLOOKUP(Table1[[#This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IF(_xlfn.XLOOKUP(C844,customers!$A$1:$A$1001,customers!$C$1:$C$1001,,0)=0,"Not _Provided",_xlfn.XLOOKUP(C844,customers!$A$1:$A$1001,customers!$C$1:$C$1001,,0))</f>
        <v>oskermen3@hatena.ne.jp</v>
      </c>
      <c r="H844" s="2" t="str">
        <f>_xlfn.XLOOKUP(C844,customers!$A$1:$A$1001,customers!$G$1:$G$1001,,0)</f>
        <v>United States</v>
      </c>
      <c r="I844" t="str">
        <f>INDEX(products!$B$1:$B$49,MATCH($D844,products!$A$1:$A$49,0))</f>
        <v>Exc</v>
      </c>
      <c r="J844" t="str">
        <f>INDEX(products!$C$1:$C$49,MATCH($D844,products!$A$1:$A$49,0))</f>
        <v>M</v>
      </c>
      <c r="K844" s="4">
        <f>INDEX(products!$D$1:$D$49,MATCH($D844,products!$A$1:$A$49,0))</f>
        <v>0.2</v>
      </c>
      <c r="L844" s="5">
        <f>INDEX(products!$E$1:$E$49,MATCH($D844,products!$A$1:$A$49,0))</f>
        <v>4.125</v>
      </c>
      <c r="M844" s="5">
        <f t="shared" si="13"/>
        <v>8.25</v>
      </c>
      <c r="N844" t="str" cm="1">
        <f t="array" ref="N844">_xlfn.IFS(I844="Rob","Robusta",I844="Exc","Excelsa",I844="Ara","Arabica",I844="Lib","Liberica")</f>
        <v>Excelsa</v>
      </c>
      <c r="O844" t="str" cm="1">
        <f t="array" ref="O844">_xlfn.SWITCH($J844,"M","Medium","L","Light","D","Dark")</f>
        <v>Medium</v>
      </c>
      <c r="P844" t="str">
        <f>_xlfn.XLOOKUP(Table1[[#This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IF(_xlfn.XLOOKUP(C845,customers!$A$1:$A$1001,customers!$C$1:$C$1001,,0)=0,"Not _Provided",_xlfn.XLOOKUP(C845,customers!$A$1:$A$1001,customers!$C$1:$C$1001,,0))</f>
        <v>ddrewittnf@mapquest.com</v>
      </c>
      <c r="H845" s="2" t="str">
        <f>_xlfn.XLOOKUP(C845,customers!$A$1:$A$1001,customers!$G$1:$G$1001,,0)</f>
        <v>United States</v>
      </c>
      <c r="I845" t="str">
        <f>INDEX(products!$B$1:$B$49,MATCH($D845,products!$A$1:$A$49,0))</f>
        <v>Exc</v>
      </c>
      <c r="J845" t="str">
        <f>INDEX(products!$C$1:$C$49,MATCH($D845,products!$A$1:$A$49,0))</f>
        <v>M</v>
      </c>
      <c r="K845" s="4">
        <f>INDEX(products!$D$1:$D$49,MATCH($D845,products!$A$1:$A$49,0))</f>
        <v>0.2</v>
      </c>
      <c r="L845" s="5">
        <f>INDEX(products!$E$1:$E$49,MATCH($D845,products!$A$1:$A$49,0))</f>
        <v>4.125</v>
      </c>
      <c r="M845" s="5">
        <f t="shared" si="13"/>
        <v>8.25</v>
      </c>
      <c r="N845" t="str" cm="1">
        <f t="array" ref="N845">_xlfn.IFS(I845="Rob","Robusta",I845="Exc","Excelsa",I845="Ara","Arabica",I845="Lib","Liberica")</f>
        <v>Excelsa</v>
      </c>
      <c r="O845" t="str" cm="1">
        <f t="array" ref="O845">_xlfn.SWITCH($J845,"M","Medium","L","Light","D","Dark")</f>
        <v>Medium</v>
      </c>
      <c r="P845" t="str">
        <f>_xlfn.XLOOKUP(Table1[[#This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IF(_xlfn.XLOOKUP(C846,customers!$A$1:$A$1001,customers!$C$1:$C$1001,,0)=0,"Not _Provided",_xlfn.XLOOKUP(C846,customers!$A$1:$A$1001,customers!$C$1:$C$1001,,0))</f>
        <v>agladhillng@stanford.edu</v>
      </c>
      <c r="H846" s="2" t="str">
        <f>_xlfn.XLOOKUP(C846,customers!$A$1:$A$1001,customers!$G$1:$G$1001,,0)</f>
        <v>United States</v>
      </c>
      <c r="I846" t="str">
        <f>INDEX(products!$B$1:$B$49,MATCH($D846,products!$A$1:$A$49,0))</f>
        <v>Ara</v>
      </c>
      <c r="J846" t="str">
        <f>INDEX(products!$C$1:$C$49,MATCH($D846,products!$A$1:$A$49,0))</f>
        <v>D</v>
      </c>
      <c r="K846" s="4">
        <f>INDEX(products!$D$1:$D$49,MATCH($D846,products!$A$1:$A$49,0))</f>
        <v>0.5</v>
      </c>
      <c r="L846" s="5">
        <f>INDEX(products!$E$1:$E$49,MATCH($D846,products!$A$1:$A$49,0))</f>
        <v>5.97</v>
      </c>
      <c r="M846" s="5">
        <f t="shared" si="13"/>
        <v>35.82</v>
      </c>
      <c r="N846" t="str" cm="1">
        <f t="array" ref="N846">_xlfn.IFS(I846="Rob","Robusta",I846="Exc","Excelsa",I846="Ara","Arabica",I846="Lib","Liberica")</f>
        <v>Arabica</v>
      </c>
      <c r="O846" t="str" cm="1">
        <f t="array" ref="O846">_xlfn.SWITCH($J846,"M","Medium","L","Light","D","Dark")</f>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IF(_xlfn.XLOOKUP(C847,customers!$A$1:$A$1001,customers!$C$1:$C$1001,,0)=0,"Not _Provided",_xlfn.XLOOKUP(C847,customers!$A$1:$A$1001,customers!$C$1:$C$1001,,0))</f>
        <v>mlorineznh@whitehouse.gov</v>
      </c>
      <c r="H847" s="2" t="str">
        <f>_xlfn.XLOOKUP(C847,customers!$A$1:$A$1001,customers!$G$1:$G$1001,,0)</f>
        <v>United States</v>
      </c>
      <c r="I847" t="str">
        <f>INDEX(products!$B$1:$B$49,MATCH($D847,products!$A$1:$A$49,0))</f>
        <v>Exc</v>
      </c>
      <c r="J847" t="str">
        <f>INDEX(products!$C$1:$C$49,MATCH($D847,products!$A$1:$A$49,0))</f>
        <v>D</v>
      </c>
      <c r="K847" s="4">
        <f>INDEX(products!$D$1:$D$49,MATCH($D847,products!$A$1:$A$49,0))</f>
        <v>2.5</v>
      </c>
      <c r="L847" s="5">
        <f>INDEX(products!$E$1:$E$49,MATCH($D847,products!$A$1:$A$49,0))</f>
        <v>27.945</v>
      </c>
      <c r="M847" s="5">
        <f t="shared" si="13"/>
        <v>167.67000000000002</v>
      </c>
      <c r="N847" t="str" cm="1">
        <f t="array" ref="N847">_xlfn.IFS(I847="Rob","Robusta",I847="Exc","Excelsa",I847="Ara","Arabica",I847="Lib","Liberica")</f>
        <v>Excelsa</v>
      </c>
      <c r="O847" t="str" cm="1">
        <f t="array" ref="O847">_xlfn.SWITCH($J847,"M","Medium","L","Light","D","Dark")</f>
        <v>Dark</v>
      </c>
      <c r="P847" t="str">
        <f>_xlfn.XLOOKUP(Table1[[#This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IF(_xlfn.XLOOKUP(C848,customers!$A$1:$A$1001,customers!$C$1:$C$1001,,0)=0,"Not _Provided",_xlfn.XLOOKUP(C848,customers!$A$1:$A$1001,customers!$C$1:$C$1001,,0))</f>
        <v>Not _Provided</v>
      </c>
      <c r="H848" s="2" t="str">
        <f>_xlfn.XLOOKUP(C848,customers!$A$1:$A$1001,customers!$G$1:$G$1001,,0)</f>
        <v>United States</v>
      </c>
      <c r="I848" t="str">
        <f>INDEX(products!$B$1:$B$49,MATCH($D848,products!$A$1:$A$49,0))</f>
        <v>Ara</v>
      </c>
      <c r="J848" t="str">
        <f>INDEX(products!$C$1:$C$49,MATCH($D848,products!$A$1:$A$49,0))</f>
        <v>M</v>
      </c>
      <c r="K848" s="4">
        <f>INDEX(products!$D$1:$D$49,MATCH($D848,products!$A$1:$A$49,0))</f>
        <v>2.5</v>
      </c>
      <c r="L848" s="5">
        <f>INDEX(products!$E$1:$E$49,MATCH($D848,products!$A$1:$A$49,0))</f>
        <v>25.874999999999996</v>
      </c>
      <c r="M848" s="5">
        <f t="shared" si="13"/>
        <v>51.749999999999993</v>
      </c>
      <c r="N848" t="str" cm="1">
        <f t="array" ref="N848">_xlfn.IFS(I848="Rob","Robusta",I848="Exc","Excelsa",I848="Ara","Arabica",I848="Lib","Liberica")</f>
        <v>Arabica</v>
      </c>
      <c r="O848" t="str" cm="1">
        <f t="array" ref="O848">_xlfn.SWITCH($J848,"M","Medium","L","Light","D","Dark")</f>
        <v>Medium</v>
      </c>
      <c r="P848" t="str">
        <f>_xlfn.XLOOKUP(Table1[[#This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IF(_xlfn.XLOOKUP(C849,customers!$A$1:$A$1001,customers!$C$1:$C$1001,,0)=0,"Not _Provided",_xlfn.XLOOKUP(C849,customers!$A$1:$A$1001,customers!$C$1:$C$1001,,0))</f>
        <v>mvannj@wikipedia.org</v>
      </c>
      <c r="H849" s="2" t="str">
        <f>_xlfn.XLOOKUP(C849,customers!$A$1:$A$1001,customers!$G$1:$G$1001,,0)</f>
        <v>United States</v>
      </c>
      <c r="I849" t="str">
        <f>INDEX(products!$B$1:$B$49,MATCH($D849,products!$A$1:$A$49,0))</f>
        <v>Ara</v>
      </c>
      <c r="J849" t="str">
        <f>INDEX(products!$C$1:$C$49,MATCH($D849,products!$A$1:$A$49,0))</f>
        <v>D</v>
      </c>
      <c r="K849" s="4">
        <f>INDEX(products!$D$1:$D$49,MATCH($D849,products!$A$1:$A$49,0))</f>
        <v>0.2</v>
      </c>
      <c r="L849" s="5">
        <f>INDEX(products!$E$1:$E$49,MATCH($D849,products!$A$1:$A$49,0))</f>
        <v>2.9849999999999999</v>
      </c>
      <c r="M849" s="5">
        <f t="shared" si="13"/>
        <v>8.9550000000000001</v>
      </c>
      <c r="N849" t="str" cm="1">
        <f t="array" ref="N849">_xlfn.IFS(I849="Rob","Robusta",I849="Exc","Excelsa",I849="Ara","Arabica",I849="Lib","Liberica")</f>
        <v>Arabica</v>
      </c>
      <c r="O849" t="str" cm="1">
        <f t="array" ref="O849">_xlfn.SWITCH($J849,"M","Medium","L","Light","D","Dark")</f>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IF(_xlfn.XLOOKUP(C850,customers!$A$1:$A$1001,customers!$C$1:$C$1001,,0)=0,"Not _Provided",_xlfn.XLOOKUP(C850,customers!$A$1:$A$1001,customers!$C$1:$C$1001,,0))</f>
        <v>Not _Provided</v>
      </c>
      <c r="H850" s="2" t="str">
        <f>_xlfn.XLOOKUP(C850,customers!$A$1:$A$1001,customers!$G$1:$G$1001,,0)</f>
        <v>United States</v>
      </c>
      <c r="I850" t="str">
        <f>INDEX(products!$B$1:$B$49,MATCH($D850,products!$A$1:$A$49,0))</f>
        <v>Exc</v>
      </c>
      <c r="J850" t="str">
        <f>INDEX(products!$C$1:$C$49,MATCH($D850,products!$A$1:$A$49,0))</f>
        <v>L</v>
      </c>
      <c r="K850" s="4">
        <f>INDEX(products!$D$1:$D$49,MATCH($D850,products!$A$1:$A$49,0))</f>
        <v>0.5</v>
      </c>
      <c r="L850" s="5">
        <f>INDEX(products!$E$1:$E$49,MATCH($D850,products!$A$1:$A$49,0))</f>
        <v>8.91</v>
      </c>
      <c r="M850" s="5">
        <f t="shared" si="13"/>
        <v>53.46</v>
      </c>
      <c r="N850" t="str" cm="1">
        <f t="array" ref="N850">_xlfn.IFS(I850="Rob","Robusta",I850="Exc","Excelsa",I850="Ara","Arabica",I850="Lib","Liberica")</f>
        <v>Excelsa</v>
      </c>
      <c r="O850" t="str" cm="1">
        <f t="array" ref="O850">_xlfn.SWITCH($J850,"M","Medium","L","Light","D","Dark")</f>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IF(_xlfn.XLOOKUP(C851,customers!$A$1:$A$1001,customers!$C$1:$C$1001,,0)=0,"Not _Provided",_xlfn.XLOOKUP(C851,customers!$A$1:$A$1001,customers!$C$1:$C$1001,,0))</f>
        <v>jethelstonnl@creativecommons.org</v>
      </c>
      <c r="H851" s="2" t="str">
        <f>_xlfn.XLOOKUP(C851,customers!$A$1:$A$1001,customers!$G$1:$G$1001,,0)</f>
        <v>United States</v>
      </c>
      <c r="I851" t="str">
        <f>INDEX(products!$B$1:$B$49,MATCH($D851,products!$A$1:$A$49,0))</f>
        <v>Ara</v>
      </c>
      <c r="J851" t="str">
        <f>INDEX(products!$C$1:$C$49,MATCH($D851,products!$A$1:$A$49,0))</f>
        <v>L</v>
      </c>
      <c r="K851" s="4">
        <f>INDEX(products!$D$1:$D$49,MATCH($D851,products!$A$1:$A$49,0))</f>
        <v>0.2</v>
      </c>
      <c r="L851" s="5">
        <f>INDEX(products!$E$1:$E$49,MATCH($D851,products!$A$1:$A$49,0))</f>
        <v>3.8849999999999998</v>
      </c>
      <c r="M851" s="5">
        <f t="shared" si="13"/>
        <v>23.31</v>
      </c>
      <c r="N851" t="str" cm="1">
        <f t="array" ref="N851">_xlfn.IFS(I851="Rob","Robusta",I851="Exc","Excelsa",I851="Ara","Arabica",I851="Lib","Liberica")</f>
        <v>Arabica</v>
      </c>
      <c r="O851" t="str" cm="1">
        <f t="array" ref="O851">_xlfn.SWITCH($J851,"M","Medium","L","Light","D","Dark")</f>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IF(_xlfn.XLOOKUP(C852,customers!$A$1:$A$1001,customers!$C$1:$C$1001,,0)=0,"Not _Provided",_xlfn.XLOOKUP(C852,customers!$A$1:$A$1001,customers!$C$1:$C$1001,,0))</f>
        <v>jethelstonnl@creativecommons.org</v>
      </c>
      <c r="H852" s="2" t="str">
        <f>_xlfn.XLOOKUP(C852,customers!$A$1:$A$1001,customers!$G$1:$G$1001,,0)</f>
        <v>United States</v>
      </c>
      <c r="I852" t="str">
        <f>INDEX(products!$B$1:$B$49,MATCH($D852,products!$A$1:$A$49,0))</f>
        <v>Ara</v>
      </c>
      <c r="J852" t="str">
        <f>INDEX(products!$C$1:$C$49,MATCH($D852,products!$A$1:$A$49,0))</f>
        <v>M</v>
      </c>
      <c r="K852" s="4">
        <f>INDEX(products!$D$1:$D$49,MATCH($D852,products!$A$1:$A$49,0))</f>
        <v>0.2</v>
      </c>
      <c r="L852" s="5">
        <f>INDEX(products!$E$1:$E$49,MATCH($D852,products!$A$1:$A$49,0))</f>
        <v>3.375</v>
      </c>
      <c r="M852" s="5">
        <f t="shared" si="13"/>
        <v>6.75</v>
      </c>
      <c r="N852" t="str" cm="1">
        <f t="array" ref="N852">_xlfn.IFS(I852="Rob","Robusta",I852="Exc","Excelsa",I852="Ara","Arabica",I852="Lib","Liberica")</f>
        <v>Arabica</v>
      </c>
      <c r="O852" t="str" cm="1">
        <f t="array" ref="O852">_xlfn.SWITCH($J852,"M","Medium","L","Light","D","Dark")</f>
        <v>Medium</v>
      </c>
      <c r="P852" t="str">
        <f>_xlfn.XLOOKUP(Table1[[#This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IF(_xlfn.XLOOKUP(C853,customers!$A$1:$A$1001,customers!$C$1:$C$1001,,0)=0,"Not _Provided",_xlfn.XLOOKUP(C853,customers!$A$1:$A$1001,customers!$C$1:$C$1001,,0))</f>
        <v>peberznn@woothemes.com</v>
      </c>
      <c r="H853" s="2" t="str">
        <f>_xlfn.XLOOKUP(C853,customers!$A$1:$A$1001,customers!$G$1:$G$1001,,0)</f>
        <v>United States</v>
      </c>
      <c r="I853" t="str">
        <f>INDEX(products!$B$1:$B$49,MATCH($D853,products!$A$1:$A$49,0))</f>
        <v>Lib</v>
      </c>
      <c r="J853" t="str">
        <f>INDEX(products!$C$1:$C$49,MATCH($D853,products!$A$1:$A$49,0))</f>
        <v>D</v>
      </c>
      <c r="K853" s="4">
        <f>INDEX(products!$D$1:$D$49,MATCH($D853,products!$A$1:$A$49,0))</f>
        <v>0.5</v>
      </c>
      <c r="L853" s="5">
        <f>INDEX(products!$E$1:$E$49,MATCH($D853,products!$A$1:$A$49,0))</f>
        <v>7.77</v>
      </c>
      <c r="M853" s="5">
        <f t="shared" si="13"/>
        <v>7.77</v>
      </c>
      <c r="N853" t="str" cm="1">
        <f t="array" ref="N853">_xlfn.IFS(I853="Rob","Robusta",I853="Exc","Excelsa",I853="Ara","Arabica",I853="Lib","Liberica")</f>
        <v>Liberica</v>
      </c>
      <c r="O853" t="str" cm="1">
        <f t="array" ref="O853">_xlfn.SWITCH($J853,"M","Medium","L","Light","D","Dark")</f>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IF(_xlfn.XLOOKUP(C854,customers!$A$1:$A$1001,customers!$C$1:$C$1001,,0)=0,"Not _Provided",_xlfn.XLOOKUP(C854,customers!$A$1:$A$1001,customers!$C$1:$C$1001,,0))</f>
        <v>bgaishno@altervista.org</v>
      </c>
      <c r="H854" s="2" t="str">
        <f>_xlfn.XLOOKUP(C854,customers!$A$1:$A$1001,customers!$G$1:$G$1001,,0)</f>
        <v>United States</v>
      </c>
      <c r="I854" t="str">
        <f>INDEX(products!$B$1:$B$49,MATCH($D854,products!$A$1:$A$49,0))</f>
        <v>Lib</v>
      </c>
      <c r="J854" t="str">
        <f>INDEX(products!$C$1:$C$49,MATCH($D854,products!$A$1:$A$49,0))</f>
        <v>D</v>
      </c>
      <c r="K854" s="4">
        <f>INDEX(products!$D$1:$D$49,MATCH($D854,products!$A$1:$A$49,0))</f>
        <v>2.5</v>
      </c>
      <c r="L854" s="5">
        <f>INDEX(products!$E$1:$E$49,MATCH($D854,products!$A$1:$A$49,0))</f>
        <v>29.784999999999997</v>
      </c>
      <c r="M854" s="5">
        <f t="shared" si="13"/>
        <v>119.13999999999999</v>
      </c>
      <c r="N854" t="str" cm="1">
        <f t="array" ref="N854">_xlfn.IFS(I854="Rob","Robusta",I854="Exc","Excelsa",I854="Ara","Arabica",I854="Lib","Liberica")</f>
        <v>Liberica</v>
      </c>
      <c r="O854" t="str" cm="1">
        <f t="array" ref="O854">_xlfn.SWITCH($J854,"M","Medium","L","Light","D","Dark")</f>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IF(_xlfn.XLOOKUP(C855,customers!$A$1:$A$1001,customers!$C$1:$C$1001,,0)=0,"Not _Provided",_xlfn.XLOOKUP(C855,customers!$A$1:$A$1001,customers!$C$1:$C$1001,,0))</f>
        <v>ldantonnp@miitbeian.gov.cn</v>
      </c>
      <c r="H855" s="2" t="str">
        <f>_xlfn.XLOOKUP(C855,customers!$A$1:$A$1001,customers!$G$1:$G$1001,,0)</f>
        <v>United States</v>
      </c>
      <c r="I855" t="str">
        <f>INDEX(products!$B$1:$B$49,MATCH($D855,products!$A$1:$A$49,0))</f>
        <v>Ara</v>
      </c>
      <c r="J855" t="str">
        <f>INDEX(products!$C$1:$C$49,MATCH($D855,products!$A$1:$A$49,0))</f>
        <v>D</v>
      </c>
      <c r="K855" s="4">
        <f>INDEX(products!$D$1:$D$49,MATCH($D855,products!$A$1:$A$49,0))</f>
        <v>1</v>
      </c>
      <c r="L855" s="5">
        <f>INDEX(products!$E$1:$E$49,MATCH($D855,products!$A$1:$A$49,0))</f>
        <v>9.9499999999999993</v>
      </c>
      <c r="M855" s="5">
        <f t="shared" si="13"/>
        <v>19.899999999999999</v>
      </c>
      <c r="N855" t="str" cm="1">
        <f t="array" ref="N855">_xlfn.IFS(I855="Rob","Robusta",I855="Exc","Excelsa",I855="Ara","Arabica",I855="Lib","Liberica")</f>
        <v>Arabica</v>
      </c>
      <c r="O855" t="str" cm="1">
        <f t="array" ref="O855">_xlfn.SWITCH($J855,"M","Medium","L","Light","D","Dark")</f>
        <v>Dark</v>
      </c>
      <c r="P855" t="str">
        <f>_xlfn.XLOOKUP(Table1[[#This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IF(_xlfn.XLOOKUP(C856,customers!$A$1:$A$1001,customers!$C$1:$C$1001,,0)=0,"Not _Provided",_xlfn.XLOOKUP(C856,customers!$A$1:$A$1001,customers!$C$1:$C$1001,,0))</f>
        <v>smorrallnq@answers.com</v>
      </c>
      <c r="H856" s="2" t="str">
        <f>_xlfn.XLOOKUP(C856,customers!$A$1:$A$1001,customers!$G$1:$G$1001,,0)</f>
        <v>United States</v>
      </c>
      <c r="I856" t="str">
        <f>INDEX(products!$B$1:$B$49,MATCH($D856,products!$A$1:$A$49,0))</f>
        <v>Rob</v>
      </c>
      <c r="J856" t="str">
        <f>INDEX(products!$C$1:$C$49,MATCH($D856,products!$A$1:$A$49,0))</f>
        <v>L</v>
      </c>
      <c r="K856" s="4">
        <f>INDEX(products!$D$1:$D$49,MATCH($D856,products!$A$1:$A$49,0))</f>
        <v>0.5</v>
      </c>
      <c r="L856" s="5">
        <f>INDEX(products!$E$1:$E$49,MATCH($D856,products!$A$1:$A$49,0))</f>
        <v>7.169999999999999</v>
      </c>
      <c r="M856" s="5">
        <f t="shared" si="13"/>
        <v>35.849999999999994</v>
      </c>
      <c r="N856" t="str" cm="1">
        <f t="array" ref="N856">_xlfn.IFS(I856="Rob","Robusta",I856="Exc","Excelsa",I856="Ara","Arabica",I856="Lib","Liberica")</f>
        <v>Robusta</v>
      </c>
      <c r="O856" t="str" cm="1">
        <f t="array" ref="O856">_xlfn.SWITCH($J856,"M","Medium","L","Light","D","Dark")</f>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IF(_xlfn.XLOOKUP(C857,customers!$A$1:$A$1001,customers!$C$1:$C$1001,,0)=0,"Not _Provided",_xlfn.XLOOKUP(C857,customers!$A$1:$A$1001,customers!$C$1:$C$1001,,0))</f>
        <v>dcrownshawnr@photobucket.com</v>
      </c>
      <c r="H857" s="2" t="str">
        <f>_xlfn.XLOOKUP(C857,customers!$A$1:$A$1001,customers!$G$1:$G$1001,,0)</f>
        <v>United States</v>
      </c>
      <c r="I857" t="str">
        <f>INDEX(products!$B$1:$B$49,MATCH($D857,products!$A$1:$A$49,0))</f>
        <v>Lib</v>
      </c>
      <c r="J857" t="str">
        <f>INDEX(products!$C$1:$C$49,MATCH($D857,products!$A$1:$A$49,0))</f>
        <v>D</v>
      </c>
      <c r="K857" s="4">
        <f>INDEX(products!$D$1:$D$49,MATCH($D857,products!$A$1:$A$49,0))</f>
        <v>2.5</v>
      </c>
      <c r="L857" s="5">
        <f>INDEX(products!$E$1:$E$49,MATCH($D857,products!$A$1:$A$49,0))</f>
        <v>29.784999999999997</v>
      </c>
      <c r="M857" s="5">
        <f t="shared" si="13"/>
        <v>89.35499999999999</v>
      </c>
      <c r="N857" t="str" cm="1">
        <f t="array" ref="N857">_xlfn.IFS(I857="Rob","Robusta",I857="Exc","Excelsa",I857="Ara","Arabica",I857="Lib","Liberica")</f>
        <v>Liberica</v>
      </c>
      <c r="O857" t="str" cm="1">
        <f t="array" ref="O857">_xlfn.SWITCH($J857,"M","Medium","L","Light","D","Dark")</f>
        <v>Dark</v>
      </c>
      <c r="P857" t="str">
        <f>_xlfn.XLOOKUP(Table1[[#This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IF(_xlfn.XLOOKUP(C858,customers!$A$1:$A$1001,customers!$C$1:$C$1001,,0)=0,"Not _Provided",_xlfn.XLOOKUP(C858,customers!$A$1:$A$1001,customers!$C$1:$C$1001,,0))</f>
        <v>oskermen3@hatena.ne.jp</v>
      </c>
      <c r="H858" s="2" t="str">
        <f>_xlfn.XLOOKUP(C858,customers!$A$1:$A$1001,customers!$G$1:$G$1001,,0)</f>
        <v>United States</v>
      </c>
      <c r="I858" t="str">
        <f>INDEX(products!$B$1:$B$49,MATCH($D858,products!$A$1:$A$49,0))</f>
        <v>Lib</v>
      </c>
      <c r="J858" t="str">
        <f>INDEX(products!$C$1:$C$49,MATCH($D858,products!$A$1:$A$49,0))</f>
        <v>M</v>
      </c>
      <c r="K858" s="4">
        <f>INDEX(products!$D$1:$D$49,MATCH($D858,products!$A$1:$A$49,0))</f>
        <v>0.2</v>
      </c>
      <c r="L858" s="5">
        <f>INDEX(products!$E$1:$E$49,MATCH($D858,products!$A$1:$A$49,0))</f>
        <v>4.3650000000000002</v>
      </c>
      <c r="M858" s="5">
        <f t="shared" si="13"/>
        <v>8.73</v>
      </c>
      <c r="N858" t="str" cm="1">
        <f t="array" ref="N858">_xlfn.IFS(I858="Rob","Robusta",I858="Exc","Excelsa",I858="Ara","Arabica",I858="Lib","Liberica")</f>
        <v>Liberica</v>
      </c>
      <c r="O858" t="str" cm="1">
        <f t="array" ref="O858">_xlfn.SWITCH($J858,"M","Medium","L","Light","D","Dark")</f>
        <v>Medium</v>
      </c>
      <c r="P858" t="str">
        <f>_xlfn.XLOOKUP(Table1[[#This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IF(_xlfn.XLOOKUP(C859,customers!$A$1:$A$1001,customers!$C$1:$C$1001,,0)=0,"Not _Provided",_xlfn.XLOOKUP(C859,customers!$A$1:$A$1001,customers!$C$1:$C$1001,,0))</f>
        <v>jreddochnt@sun.com</v>
      </c>
      <c r="H859" s="2" t="str">
        <f>_xlfn.XLOOKUP(C859,customers!$A$1:$A$1001,customers!$G$1:$G$1001,,0)</f>
        <v>United States</v>
      </c>
      <c r="I859" t="str">
        <f>INDEX(products!$B$1:$B$49,MATCH($D859,products!$A$1:$A$49,0))</f>
        <v>Rob</v>
      </c>
      <c r="J859" t="str">
        <f>INDEX(products!$C$1:$C$49,MATCH($D859,products!$A$1:$A$49,0))</f>
        <v>L</v>
      </c>
      <c r="K859" s="4">
        <f>INDEX(products!$D$1:$D$49,MATCH($D859,products!$A$1:$A$49,0))</f>
        <v>2.5</v>
      </c>
      <c r="L859" s="5">
        <f>INDEX(products!$E$1:$E$49,MATCH($D859,products!$A$1:$A$49,0))</f>
        <v>27.484999999999996</v>
      </c>
      <c r="M859" s="5">
        <f t="shared" si="13"/>
        <v>137.42499999999998</v>
      </c>
      <c r="N859" t="str" cm="1">
        <f t="array" ref="N859">_xlfn.IFS(I859="Rob","Robusta",I859="Exc","Excelsa",I859="Ara","Arabica",I859="Lib","Liberica")</f>
        <v>Robusta</v>
      </c>
      <c r="O859" t="str" cm="1">
        <f t="array" ref="O859">_xlfn.SWITCH($J859,"M","Medium","L","Light","D","Dark")</f>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IF(_xlfn.XLOOKUP(C860,customers!$A$1:$A$1001,customers!$C$1:$C$1001,,0)=0,"Not _Provided",_xlfn.XLOOKUP(C860,customers!$A$1:$A$1001,customers!$C$1:$C$1001,,0))</f>
        <v>stitleynu@whitehouse.gov</v>
      </c>
      <c r="H860" s="2" t="str">
        <f>_xlfn.XLOOKUP(C860,customers!$A$1:$A$1001,customers!$G$1:$G$1001,,0)</f>
        <v>United States</v>
      </c>
      <c r="I860" t="str">
        <f>INDEX(products!$B$1:$B$49,MATCH($D860,products!$A$1:$A$49,0))</f>
        <v>Lib</v>
      </c>
      <c r="J860" t="str">
        <f>INDEX(products!$C$1:$C$49,MATCH($D860,products!$A$1:$A$49,0))</f>
        <v>M</v>
      </c>
      <c r="K860" s="4">
        <f>INDEX(products!$D$1:$D$49,MATCH($D860,products!$A$1:$A$49,0))</f>
        <v>0.5</v>
      </c>
      <c r="L860" s="5">
        <f>INDEX(products!$E$1:$E$49,MATCH($D860,products!$A$1:$A$49,0))</f>
        <v>8.73</v>
      </c>
      <c r="M860" s="5">
        <f t="shared" si="13"/>
        <v>34.92</v>
      </c>
      <c r="N860" t="str" cm="1">
        <f t="array" ref="N860">_xlfn.IFS(I860="Rob","Robusta",I860="Exc","Excelsa",I860="Ara","Arabica",I860="Lib","Liberica")</f>
        <v>Liberica</v>
      </c>
      <c r="O860" t="str" cm="1">
        <f t="array" ref="O860">_xlfn.SWITCH($J860,"M","Medium","L","Light","D","Dark")</f>
        <v>Medium</v>
      </c>
      <c r="P860" t="str">
        <f>_xlfn.XLOOKUP(Table1[[#This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IF(_xlfn.XLOOKUP(C861,customers!$A$1:$A$1001,customers!$C$1:$C$1001,,0)=0,"Not _Provided",_xlfn.XLOOKUP(C861,customers!$A$1:$A$1001,customers!$C$1:$C$1001,,0))</f>
        <v>rsimaonv@simplemachines.org</v>
      </c>
      <c r="H861" s="2" t="str">
        <f>_xlfn.XLOOKUP(C861,customers!$A$1:$A$1001,customers!$G$1:$G$1001,,0)</f>
        <v>United States</v>
      </c>
      <c r="I861" t="str">
        <f>INDEX(products!$B$1:$B$49,MATCH($D861,products!$A$1:$A$49,0))</f>
        <v>Ara</v>
      </c>
      <c r="J861" t="str">
        <f>INDEX(products!$C$1:$C$49,MATCH($D861,products!$A$1:$A$49,0))</f>
        <v>L</v>
      </c>
      <c r="K861" s="4">
        <f>INDEX(products!$D$1:$D$49,MATCH($D861,products!$A$1:$A$49,0))</f>
        <v>2.5</v>
      </c>
      <c r="L861" s="5">
        <f>INDEX(products!$E$1:$E$49,MATCH($D861,products!$A$1:$A$49,0))</f>
        <v>29.784999999999997</v>
      </c>
      <c r="M861" s="5">
        <f t="shared" si="13"/>
        <v>178.70999999999998</v>
      </c>
      <c r="N861" t="str" cm="1">
        <f t="array" ref="N861">_xlfn.IFS(I861="Rob","Robusta",I861="Exc","Excelsa",I861="Ara","Arabica",I861="Lib","Liberica")</f>
        <v>Arabica</v>
      </c>
      <c r="O861" t="str" cm="1">
        <f t="array" ref="O861">_xlfn.SWITCH($J861,"M","Medium","L","Light","D","Dark")</f>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IF(_xlfn.XLOOKUP(C862,customers!$A$1:$A$1001,customers!$C$1:$C$1001,,0)=0,"Not _Provided",_xlfn.XLOOKUP(C862,customers!$A$1:$A$1001,customers!$C$1:$C$1001,,0))</f>
        <v>Not _Provided</v>
      </c>
      <c r="H862" s="2" t="str">
        <f>_xlfn.XLOOKUP(C862,customers!$A$1:$A$1001,customers!$G$1:$G$1001,,0)</f>
        <v>United States</v>
      </c>
      <c r="I862" t="str">
        <f>INDEX(products!$B$1:$B$49,MATCH($D862,products!$A$1:$A$49,0))</f>
        <v>Ara</v>
      </c>
      <c r="J862" t="str">
        <f>INDEX(products!$C$1:$C$49,MATCH($D862,products!$A$1:$A$49,0))</f>
        <v>M</v>
      </c>
      <c r="K862" s="4">
        <f>INDEX(products!$D$1:$D$49,MATCH($D862,products!$A$1:$A$49,0))</f>
        <v>2.5</v>
      </c>
      <c r="L862" s="5">
        <f>INDEX(products!$E$1:$E$49,MATCH($D862,products!$A$1:$A$49,0))</f>
        <v>25.874999999999996</v>
      </c>
      <c r="M862" s="5">
        <f t="shared" si="13"/>
        <v>25.874999999999996</v>
      </c>
      <c r="N862" t="str" cm="1">
        <f t="array" ref="N862">_xlfn.IFS(I862="Rob","Robusta",I862="Exc","Excelsa",I862="Ara","Arabica",I862="Lib","Liberica")</f>
        <v>Arabica</v>
      </c>
      <c r="O862" t="str" cm="1">
        <f t="array" ref="O862">_xlfn.SWITCH($J862,"M","Medium","L","Light","D","Dark")</f>
        <v>Medium</v>
      </c>
      <c r="P862" t="str">
        <f>_xlfn.XLOOKUP(Table1[[#This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IF(_xlfn.XLOOKUP(C863,customers!$A$1:$A$1001,customers!$C$1:$C$1001,,0)=0,"Not _Provided",_xlfn.XLOOKUP(C863,customers!$A$1:$A$1001,customers!$C$1:$C$1001,,0))</f>
        <v>nchisholmnx@example.com</v>
      </c>
      <c r="H863" s="2" t="str">
        <f>_xlfn.XLOOKUP(C863,customers!$A$1:$A$1001,customers!$G$1:$G$1001,,0)</f>
        <v>United States</v>
      </c>
      <c r="I863" t="str">
        <f>INDEX(products!$B$1:$B$49,MATCH($D863,products!$A$1:$A$49,0))</f>
        <v>Lib</v>
      </c>
      <c r="J863" t="str">
        <f>INDEX(products!$C$1:$C$49,MATCH($D863,products!$A$1:$A$49,0))</f>
        <v>D</v>
      </c>
      <c r="K863" s="4">
        <f>INDEX(products!$D$1:$D$49,MATCH($D863,products!$A$1:$A$49,0))</f>
        <v>1</v>
      </c>
      <c r="L863" s="5">
        <f>INDEX(products!$E$1:$E$49,MATCH($D863,products!$A$1:$A$49,0))</f>
        <v>12.95</v>
      </c>
      <c r="M863" s="5">
        <f t="shared" si="13"/>
        <v>77.699999999999989</v>
      </c>
      <c r="N863" t="str" cm="1">
        <f t="array" ref="N863">_xlfn.IFS(I863="Rob","Robusta",I863="Exc","Excelsa",I863="Ara","Arabica",I863="Lib","Liberica")</f>
        <v>Liberica</v>
      </c>
      <c r="O863" t="str" cm="1">
        <f t="array" ref="O863">_xlfn.SWITCH($J863,"M","Medium","L","Light","D","Dark")</f>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IF(_xlfn.XLOOKUP(C864,customers!$A$1:$A$1001,customers!$C$1:$C$1001,,0)=0,"Not _Provided",_xlfn.XLOOKUP(C864,customers!$A$1:$A$1001,customers!$C$1:$C$1001,,0))</f>
        <v>goatsny@live.com</v>
      </c>
      <c r="H864" s="2" t="str">
        <f>_xlfn.XLOOKUP(C864,customers!$A$1:$A$1001,customers!$G$1:$G$1001,,0)</f>
        <v>United States</v>
      </c>
      <c r="I864" t="str">
        <f>INDEX(products!$B$1:$B$49,MATCH($D864,products!$A$1:$A$49,0))</f>
        <v>Rob</v>
      </c>
      <c r="J864" t="str">
        <f>INDEX(products!$C$1:$C$49,MATCH($D864,products!$A$1:$A$49,0))</f>
        <v>M</v>
      </c>
      <c r="K864" s="4">
        <f>INDEX(products!$D$1:$D$49,MATCH($D864,products!$A$1:$A$49,0))</f>
        <v>1</v>
      </c>
      <c r="L864" s="5">
        <f>INDEX(products!$E$1:$E$49,MATCH($D864,products!$A$1:$A$49,0))</f>
        <v>9.9499999999999993</v>
      </c>
      <c r="M864" s="5">
        <f t="shared" si="13"/>
        <v>9.9499999999999993</v>
      </c>
      <c r="N864" t="str" cm="1">
        <f t="array" ref="N864">_xlfn.IFS(I864="Rob","Robusta",I864="Exc","Excelsa",I864="Ara","Arabica",I864="Lib","Liberica")</f>
        <v>Robusta</v>
      </c>
      <c r="O864" t="str" cm="1">
        <f t="array" ref="O864">_xlfn.SWITCH($J864,"M","Medium","L","Light","D","Dark")</f>
        <v>Medium</v>
      </c>
      <c r="P864" t="str">
        <f>_xlfn.XLOOKUP(Table1[[#This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IF(_xlfn.XLOOKUP(C865,customers!$A$1:$A$1001,customers!$C$1:$C$1001,,0)=0,"Not _Provided",_xlfn.XLOOKUP(C865,customers!$A$1:$A$1001,customers!$C$1:$C$1001,,0))</f>
        <v>mbirkinnz@java.com</v>
      </c>
      <c r="H865" s="2" t="str">
        <f>_xlfn.XLOOKUP(C865,customers!$A$1:$A$1001,customers!$G$1:$G$1001,,0)</f>
        <v>United States</v>
      </c>
      <c r="I865" t="str">
        <f>INDEX(products!$B$1:$B$49,MATCH($D865,products!$A$1:$A$49,0))</f>
        <v>Lib</v>
      </c>
      <c r="J865" t="str">
        <f>INDEX(products!$C$1:$C$49,MATCH($D865,products!$A$1:$A$49,0))</f>
        <v>M</v>
      </c>
      <c r="K865" s="4">
        <f>INDEX(products!$D$1:$D$49,MATCH($D865,products!$A$1:$A$49,0))</f>
        <v>1</v>
      </c>
      <c r="L865" s="5">
        <f>INDEX(products!$E$1:$E$49,MATCH($D865,products!$A$1:$A$49,0))</f>
        <v>14.55</v>
      </c>
      <c r="M865" s="5">
        <f t="shared" si="13"/>
        <v>29.1</v>
      </c>
      <c r="N865" t="str" cm="1">
        <f t="array" ref="N865">_xlfn.IFS(I865="Rob","Robusta",I865="Exc","Excelsa",I865="Ara","Arabica",I865="Lib","Liberica")</f>
        <v>Liberica</v>
      </c>
      <c r="O865" t="str" cm="1">
        <f t="array" ref="O865">_xlfn.SWITCH($J865,"M","Medium","L","Light","D","Dark")</f>
        <v>Medium</v>
      </c>
      <c r="P865" t="str">
        <f>_xlfn.XLOOKUP(Table1[[#This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IF(_xlfn.XLOOKUP(C866,customers!$A$1:$A$1001,customers!$C$1:$C$1001,,0)=0,"Not _Provided",_xlfn.XLOOKUP(C866,customers!$A$1:$A$1001,customers!$C$1:$C$1001,,0))</f>
        <v>rpysono0@constantcontact.com</v>
      </c>
      <c r="H866" s="2" t="str">
        <f>_xlfn.XLOOKUP(C866,customers!$A$1:$A$1001,customers!$G$1:$G$1001,,0)</f>
        <v>Ireland</v>
      </c>
      <c r="I866" t="str">
        <f>INDEX(products!$B$1:$B$49,MATCH($D866,products!$A$1:$A$49,0))</f>
        <v>Rob</v>
      </c>
      <c r="J866" t="str">
        <f>INDEX(products!$C$1:$C$49,MATCH($D866,products!$A$1:$A$49,0))</f>
        <v>L</v>
      </c>
      <c r="K866" s="4">
        <f>INDEX(products!$D$1:$D$49,MATCH($D866,products!$A$1:$A$49,0))</f>
        <v>0.2</v>
      </c>
      <c r="L866" s="5">
        <f>INDEX(products!$E$1:$E$49,MATCH($D866,products!$A$1:$A$49,0))</f>
        <v>3.5849999999999995</v>
      </c>
      <c r="M866" s="5">
        <f t="shared" si="13"/>
        <v>21.509999999999998</v>
      </c>
      <c r="N866" t="str" cm="1">
        <f t="array" ref="N866">_xlfn.IFS(I866="Rob","Robusta",I866="Exc","Excelsa",I866="Ara","Arabica",I866="Lib","Liberica")</f>
        <v>Robusta</v>
      </c>
      <c r="O866" t="str" cm="1">
        <f t="array" ref="O866">_xlfn.SWITCH($J866,"M","Medium","L","Light","D","Dark")</f>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IF(_xlfn.XLOOKUP(C867,customers!$A$1:$A$1001,customers!$C$1:$C$1001,,0)=0,"Not _Provided",_xlfn.XLOOKUP(C867,customers!$A$1:$A$1001,customers!$C$1:$C$1001,,0))</f>
        <v>mmacconnechieo9@reuters.com</v>
      </c>
      <c r="H867" s="2" t="str">
        <f>_xlfn.XLOOKUP(C867,customers!$A$1:$A$1001,customers!$G$1:$G$1001,,0)</f>
        <v>United States</v>
      </c>
      <c r="I867" t="str">
        <f>INDEX(products!$B$1:$B$49,MATCH($D867,products!$A$1:$A$49,0))</f>
        <v>Ara</v>
      </c>
      <c r="J867" t="str">
        <f>INDEX(products!$C$1:$C$49,MATCH($D867,products!$A$1:$A$49,0))</f>
        <v>M</v>
      </c>
      <c r="K867" s="4">
        <f>INDEX(products!$D$1:$D$49,MATCH($D867,products!$A$1:$A$49,0))</f>
        <v>0.5</v>
      </c>
      <c r="L867" s="5">
        <f>INDEX(products!$E$1:$E$49,MATCH($D867,products!$A$1:$A$49,0))</f>
        <v>6.75</v>
      </c>
      <c r="M867" s="5">
        <f t="shared" si="13"/>
        <v>6.75</v>
      </c>
      <c r="N867" t="str" cm="1">
        <f t="array" ref="N867">_xlfn.IFS(I867="Rob","Robusta",I867="Exc","Excelsa",I867="Ara","Arabica",I867="Lib","Liberica")</f>
        <v>Arabica</v>
      </c>
      <c r="O867" t="str" cm="1">
        <f t="array" ref="O867">_xlfn.SWITCH($J867,"M","Medium","L","Light","D","Dark")</f>
        <v>Medium</v>
      </c>
      <c r="P867" t="str">
        <f>_xlfn.XLOOKUP(Table1[[#This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IF(_xlfn.XLOOKUP(C868,customers!$A$1:$A$1001,customers!$C$1:$C$1001,,0)=0,"Not _Provided",_xlfn.XLOOKUP(C868,customers!$A$1:$A$1001,customers!$C$1:$C$1001,,0))</f>
        <v>rtreachero2@usa.gov</v>
      </c>
      <c r="H868" s="2" t="str">
        <f>_xlfn.XLOOKUP(C868,customers!$A$1:$A$1001,customers!$G$1:$G$1001,,0)</f>
        <v>Ireland</v>
      </c>
      <c r="I868" t="str">
        <f>INDEX(products!$B$1:$B$49,MATCH($D868,products!$A$1:$A$49,0))</f>
        <v>Ara</v>
      </c>
      <c r="J868" t="str">
        <f>INDEX(products!$C$1:$C$49,MATCH($D868,products!$A$1:$A$49,0))</f>
        <v>D</v>
      </c>
      <c r="K868" s="4">
        <f>INDEX(products!$D$1:$D$49,MATCH($D868,products!$A$1:$A$49,0))</f>
        <v>0.5</v>
      </c>
      <c r="L868" s="5">
        <f>INDEX(products!$E$1:$E$49,MATCH($D868,products!$A$1:$A$49,0))</f>
        <v>5.97</v>
      </c>
      <c r="M868" s="5">
        <f t="shared" si="13"/>
        <v>17.91</v>
      </c>
      <c r="N868" t="str" cm="1">
        <f t="array" ref="N868">_xlfn.IFS(I868="Rob","Robusta",I868="Exc","Excelsa",I868="Ara","Arabica",I868="Lib","Liberica")</f>
        <v>Arabica</v>
      </c>
      <c r="O868" t="str" cm="1">
        <f t="array" ref="O868">_xlfn.SWITCH($J868,"M","Medium","L","Light","D","Dark")</f>
        <v>Dark</v>
      </c>
      <c r="P868" t="str">
        <f>_xlfn.XLOOKUP(Table1[[#This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IF(_xlfn.XLOOKUP(C869,customers!$A$1:$A$1001,customers!$C$1:$C$1001,,0)=0,"Not _Provided",_xlfn.XLOOKUP(C869,customers!$A$1:$A$1001,customers!$C$1:$C$1001,,0))</f>
        <v>bfattorinio3@quantcast.com</v>
      </c>
      <c r="H869" s="2" t="str">
        <f>_xlfn.XLOOKUP(C869,customers!$A$1:$A$1001,customers!$G$1:$G$1001,,0)</f>
        <v>Ireland</v>
      </c>
      <c r="I869" t="str">
        <f>INDEX(products!$B$1:$B$49,MATCH($D869,products!$A$1:$A$49,0))</f>
        <v>Ara</v>
      </c>
      <c r="J869" t="str">
        <f>INDEX(products!$C$1:$C$49,MATCH($D869,products!$A$1:$A$49,0))</f>
        <v>L</v>
      </c>
      <c r="K869" s="4">
        <f>INDEX(products!$D$1:$D$49,MATCH($D869,products!$A$1:$A$49,0))</f>
        <v>2.5</v>
      </c>
      <c r="L869" s="5">
        <f>INDEX(products!$E$1:$E$49,MATCH($D869,products!$A$1:$A$49,0))</f>
        <v>29.784999999999997</v>
      </c>
      <c r="M869" s="5">
        <f t="shared" si="13"/>
        <v>29.784999999999997</v>
      </c>
      <c r="N869" t="str" cm="1">
        <f t="array" ref="N869">_xlfn.IFS(I869="Rob","Robusta",I869="Exc","Excelsa",I869="Ara","Arabica",I869="Lib","Liberica")</f>
        <v>Arabica</v>
      </c>
      <c r="O869" t="str" cm="1">
        <f t="array" ref="O869">_xlfn.SWITCH($J869,"M","Medium","L","Light","D","Dark")</f>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IF(_xlfn.XLOOKUP(C870,customers!$A$1:$A$1001,customers!$C$1:$C$1001,,0)=0,"Not _Provided",_xlfn.XLOOKUP(C870,customers!$A$1:$A$1001,customers!$C$1:$C$1001,,0))</f>
        <v>mpalleskeo4@nyu.edu</v>
      </c>
      <c r="H870" s="2" t="str">
        <f>_xlfn.XLOOKUP(C870,customers!$A$1:$A$1001,customers!$G$1:$G$1001,,0)</f>
        <v>United States</v>
      </c>
      <c r="I870" t="str">
        <f>INDEX(products!$B$1:$B$49,MATCH($D870,products!$A$1:$A$49,0))</f>
        <v>Exc</v>
      </c>
      <c r="J870" t="str">
        <f>INDEX(products!$C$1:$C$49,MATCH($D870,products!$A$1:$A$49,0))</f>
        <v>M</v>
      </c>
      <c r="K870" s="4">
        <f>INDEX(products!$D$1:$D$49,MATCH($D870,products!$A$1:$A$49,0))</f>
        <v>0.5</v>
      </c>
      <c r="L870" s="5">
        <f>INDEX(products!$E$1:$E$49,MATCH($D870,products!$A$1:$A$49,0))</f>
        <v>8.25</v>
      </c>
      <c r="M870" s="5">
        <f t="shared" si="13"/>
        <v>41.25</v>
      </c>
      <c r="N870" t="str" cm="1">
        <f t="array" ref="N870">_xlfn.IFS(I870="Rob","Robusta",I870="Exc","Excelsa",I870="Ara","Arabica",I870="Lib","Liberica")</f>
        <v>Excelsa</v>
      </c>
      <c r="O870" t="str" cm="1">
        <f t="array" ref="O870">_xlfn.SWITCH($J870,"M","Medium","L","Light","D","Dark")</f>
        <v>Medium</v>
      </c>
      <c r="P870" t="str">
        <f>_xlfn.XLOOKUP(Table1[[#This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IF(_xlfn.XLOOKUP(C871,customers!$A$1:$A$1001,customers!$C$1:$C$1001,,0)=0,"Not _Provided",_xlfn.XLOOKUP(C871,customers!$A$1:$A$1001,customers!$C$1:$C$1001,,0))</f>
        <v>Not _Provided</v>
      </c>
      <c r="H871" s="2" t="str">
        <f>_xlfn.XLOOKUP(C871,customers!$A$1:$A$1001,customers!$G$1:$G$1001,,0)</f>
        <v>United States</v>
      </c>
      <c r="I871" t="str">
        <f>INDEX(products!$B$1:$B$49,MATCH($D871,products!$A$1:$A$49,0))</f>
        <v>Rob</v>
      </c>
      <c r="J871" t="str">
        <f>INDEX(products!$C$1:$C$49,MATCH($D871,products!$A$1:$A$49,0))</f>
        <v>M</v>
      </c>
      <c r="K871" s="4">
        <f>INDEX(products!$D$1:$D$49,MATCH($D871,products!$A$1:$A$49,0))</f>
        <v>0.5</v>
      </c>
      <c r="L871" s="5">
        <f>INDEX(products!$E$1:$E$49,MATCH($D871,products!$A$1:$A$49,0))</f>
        <v>5.97</v>
      </c>
      <c r="M871" s="5">
        <f t="shared" si="13"/>
        <v>17.91</v>
      </c>
      <c r="N871" t="str" cm="1">
        <f t="array" ref="N871">_xlfn.IFS(I871="Rob","Robusta",I871="Exc","Excelsa",I871="Ara","Arabica",I871="Lib","Liberica")</f>
        <v>Robusta</v>
      </c>
      <c r="O871" t="str" cm="1">
        <f t="array" ref="O871">_xlfn.SWITCH($J871,"M","Medium","L","Light","D","Dark")</f>
        <v>Medium</v>
      </c>
      <c r="P871" t="str">
        <f>_xlfn.XLOOKUP(Table1[[#This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IF(_xlfn.XLOOKUP(C872,customers!$A$1:$A$1001,customers!$C$1:$C$1001,,0)=0,"Not _Provided",_xlfn.XLOOKUP(C872,customers!$A$1:$A$1001,customers!$C$1:$C$1001,,0))</f>
        <v>fantcliffeo6@amazon.co.jp</v>
      </c>
      <c r="H872" s="2" t="str">
        <f>_xlfn.XLOOKUP(C872,customers!$A$1:$A$1001,customers!$G$1:$G$1001,,0)</f>
        <v>Ireland</v>
      </c>
      <c r="I872" t="str">
        <f>INDEX(products!$B$1:$B$49,MATCH($D872,products!$A$1:$A$49,0))</f>
        <v>Exc</v>
      </c>
      <c r="J872" t="str">
        <f>INDEX(products!$C$1:$C$49,MATCH($D872,products!$A$1:$A$49,0))</f>
        <v>D</v>
      </c>
      <c r="K872" s="4">
        <f>INDEX(products!$D$1:$D$49,MATCH($D872,products!$A$1:$A$49,0))</f>
        <v>0.5</v>
      </c>
      <c r="L872" s="5">
        <f>INDEX(products!$E$1:$E$49,MATCH($D872,products!$A$1:$A$49,0))</f>
        <v>7.29</v>
      </c>
      <c r="M872" s="5">
        <f t="shared" si="13"/>
        <v>7.29</v>
      </c>
      <c r="N872" t="str" cm="1">
        <f t="array" ref="N872">_xlfn.IFS(I872="Rob","Robusta",I872="Exc","Excelsa",I872="Ara","Arabica",I872="Lib","Liberica")</f>
        <v>Excelsa</v>
      </c>
      <c r="O872" t="str" cm="1">
        <f t="array" ref="O872">_xlfn.SWITCH($J872,"M","Medium","L","Light","D","Dark")</f>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IF(_xlfn.XLOOKUP(C873,customers!$A$1:$A$1001,customers!$C$1:$C$1001,,0)=0,"Not _Provided",_xlfn.XLOOKUP(C873,customers!$A$1:$A$1001,customers!$C$1:$C$1001,,0))</f>
        <v>pmatignono7@harvard.edu</v>
      </c>
      <c r="H873" s="2" t="str">
        <f>_xlfn.XLOOKUP(C873,customers!$A$1:$A$1001,customers!$G$1:$G$1001,,0)</f>
        <v>United Kingdom</v>
      </c>
      <c r="I873" t="str">
        <f>INDEX(products!$B$1:$B$49,MATCH($D873,products!$A$1:$A$49,0))</f>
        <v>Exc</v>
      </c>
      <c r="J873" t="str">
        <f>INDEX(products!$C$1:$C$49,MATCH($D873,products!$A$1:$A$49,0))</f>
        <v>L</v>
      </c>
      <c r="K873" s="4">
        <f>INDEX(products!$D$1:$D$49,MATCH($D873,products!$A$1:$A$49,0))</f>
        <v>1</v>
      </c>
      <c r="L873" s="5">
        <f>INDEX(products!$E$1:$E$49,MATCH($D873,products!$A$1:$A$49,0))</f>
        <v>14.85</v>
      </c>
      <c r="M873" s="5">
        <f t="shared" si="13"/>
        <v>29.7</v>
      </c>
      <c r="N873" t="str" cm="1">
        <f t="array" ref="N873">_xlfn.IFS(I873="Rob","Robusta",I873="Exc","Excelsa",I873="Ara","Arabica",I873="Lib","Liberica")</f>
        <v>Excelsa</v>
      </c>
      <c r="O873" t="str" cm="1">
        <f t="array" ref="O873">_xlfn.SWITCH($J873,"M","Medium","L","Light","D","Dark")</f>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IF(_xlfn.XLOOKUP(C874,customers!$A$1:$A$1001,customers!$C$1:$C$1001,,0)=0,"Not _Provided",_xlfn.XLOOKUP(C874,customers!$A$1:$A$1001,customers!$C$1:$C$1001,,0))</f>
        <v>cweondo8@theglobeandmail.com</v>
      </c>
      <c r="H874" s="2" t="str">
        <f>_xlfn.XLOOKUP(C874,customers!$A$1:$A$1001,customers!$G$1:$G$1001,,0)</f>
        <v>United States</v>
      </c>
      <c r="I874" t="str">
        <f>INDEX(products!$B$1:$B$49,MATCH($D874,products!$A$1:$A$49,0))</f>
        <v>Ara</v>
      </c>
      <c r="J874" t="str">
        <f>INDEX(products!$C$1:$C$49,MATCH($D874,products!$A$1:$A$49,0))</f>
        <v>M</v>
      </c>
      <c r="K874" s="4">
        <f>INDEX(products!$D$1:$D$49,MATCH($D874,products!$A$1:$A$49,0))</f>
        <v>1</v>
      </c>
      <c r="L874" s="5">
        <f>INDEX(products!$E$1:$E$49,MATCH($D874,products!$A$1:$A$49,0))</f>
        <v>11.25</v>
      </c>
      <c r="M874" s="5">
        <f t="shared" si="13"/>
        <v>22.5</v>
      </c>
      <c r="N874" t="str" cm="1">
        <f t="array" ref="N874">_xlfn.IFS(I874="Rob","Robusta",I874="Exc","Excelsa",I874="Ara","Arabica",I874="Lib","Liberica")</f>
        <v>Arabica</v>
      </c>
      <c r="O874" t="str" cm="1">
        <f t="array" ref="O874">_xlfn.SWITCH($J874,"M","Medium","L","Light","D","Dark")</f>
        <v>Medium</v>
      </c>
      <c r="P874" t="str">
        <f>_xlfn.XLOOKUP(Table1[[#This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IF(_xlfn.XLOOKUP(C875,customers!$A$1:$A$1001,customers!$C$1:$C$1001,,0)=0,"Not _Provided",_xlfn.XLOOKUP(C875,customers!$A$1:$A$1001,customers!$C$1:$C$1001,,0))</f>
        <v>mmacconnechieo9@reuters.com</v>
      </c>
      <c r="H875" s="2" t="str">
        <f>_xlfn.XLOOKUP(C875,customers!$A$1:$A$1001,customers!$G$1:$G$1001,,0)</f>
        <v>United States</v>
      </c>
      <c r="I875" t="str">
        <f>INDEX(products!$B$1:$B$49,MATCH($D875,products!$A$1:$A$49,0))</f>
        <v>Rob</v>
      </c>
      <c r="J875" t="str">
        <f>INDEX(products!$C$1:$C$49,MATCH($D875,products!$A$1:$A$49,0))</f>
        <v>M</v>
      </c>
      <c r="K875" s="4">
        <f>INDEX(products!$D$1:$D$49,MATCH($D875,products!$A$1:$A$49,0))</f>
        <v>0.2</v>
      </c>
      <c r="L875" s="5">
        <f>INDEX(products!$E$1:$E$49,MATCH($D875,products!$A$1:$A$49,0))</f>
        <v>2.9849999999999999</v>
      </c>
      <c r="M875" s="5">
        <f t="shared" si="13"/>
        <v>11.94</v>
      </c>
      <c r="N875" t="str" cm="1">
        <f t="array" ref="N875">_xlfn.IFS(I875="Rob","Robusta",I875="Exc","Excelsa",I875="Ara","Arabica",I875="Lib","Liberica")</f>
        <v>Robusta</v>
      </c>
      <c r="O875" t="str" cm="1">
        <f t="array" ref="O875">_xlfn.SWITCH($J875,"M","Medium","L","Light","D","Dark")</f>
        <v>Medium</v>
      </c>
      <c r="P875" t="str">
        <f>_xlfn.XLOOKUP(Table1[[#This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IF(_xlfn.XLOOKUP(C876,customers!$A$1:$A$1001,customers!$C$1:$C$1001,,0)=0,"Not _Provided",_xlfn.XLOOKUP(C876,customers!$A$1:$A$1001,customers!$C$1:$C$1001,,0))</f>
        <v>jskentelberyoa@paypal.com</v>
      </c>
      <c r="H876" s="2" t="str">
        <f>_xlfn.XLOOKUP(C876,customers!$A$1:$A$1001,customers!$G$1:$G$1001,,0)</f>
        <v>United States</v>
      </c>
      <c r="I876" t="str">
        <f>INDEX(products!$B$1:$B$49,MATCH($D876,products!$A$1:$A$49,0))</f>
        <v>Ara</v>
      </c>
      <c r="J876" t="str">
        <f>INDEX(products!$C$1:$C$49,MATCH($D876,products!$A$1:$A$49,0))</f>
        <v>L</v>
      </c>
      <c r="K876" s="4">
        <f>INDEX(products!$D$1:$D$49,MATCH($D876,products!$A$1:$A$49,0))</f>
        <v>1</v>
      </c>
      <c r="L876" s="5">
        <f>INDEX(products!$E$1:$E$49,MATCH($D876,products!$A$1:$A$49,0))</f>
        <v>12.95</v>
      </c>
      <c r="M876" s="5">
        <f t="shared" si="13"/>
        <v>25.9</v>
      </c>
      <c r="N876" t="str" cm="1">
        <f t="array" ref="N876">_xlfn.IFS(I876="Rob","Robusta",I876="Exc","Excelsa",I876="Ara","Arabica",I876="Lib","Liberica")</f>
        <v>Arabica</v>
      </c>
      <c r="O876" t="str" cm="1">
        <f t="array" ref="O876">_xlfn.SWITCH($J876,"M","Medium","L","Light","D","Dark")</f>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IF(_xlfn.XLOOKUP(C877,customers!$A$1:$A$1001,customers!$C$1:$C$1001,,0)=0,"Not _Provided",_xlfn.XLOOKUP(C877,customers!$A$1:$A$1001,customers!$C$1:$C$1001,,0))</f>
        <v>ocomberob@goo.gl</v>
      </c>
      <c r="H877" s="2" t="str">
        <f>_xlfn.XLOOKUP(C877,customers!$A$1:$A$1001,customers!$G$1:$G$1001,,0)</f>
        <v>Ireland</v>
      </c>
      <c r="I877" t="str">
        <f>INDEX(products!$B$1:$B$49,MATCH($D877,products!$A$1:$A$49,0))</f>
        <v>Lib</v>
      </c>
      <c r="J877" t="str">
        <f>INDEX(products!$C$1:$C$49,MATCH($D877,products!$A$1:$A$49,0))</f>
        <v>M</v>
      </c>
      <c r="K877" s="4">
        <f>INDEX(products!$D$1:$D$49,MATCH($D877,products!$A$1:$A$49,0))</f>
        <v>0.5</v>
      </c>
      <c r="L877" s="5">
        <f>INDEX(products!$E$1:$E$49,MATCH($D877,products!$A$1:$A$49,0))</f>
        <v>8.73</v>
      </c>
      <c r="M877" s="5">
        <f t="shared" si="13"/>
        <v>43.650000000000006</v>
      </c>
      <c r="N877" t="str" cm="1">
        <f t="array" ref="N877">_xlfn.IFS(I877="Rob","Robusta",I877="Exc","Excelsa",I877="Ara","Arabica",I877="Lib","Liberica")</f>
        <v>Liberica</v>
      </c>
      <c r="O877" t="str" cm="1">
        <f t="array" ref="O877">_xlfn.SWITCH($J877,"M","Medium","L","Light","D","Dark")</f>
        <v>Medium</v>
      </c>
      <c r="P877" t="str">
        <f>_xlfn.XLOOKUP(Table1[[#This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IF(_xlfn.XLOOKUP(C878,customers!$A$1:$A$1001,customers!$C$1:$C$1001,,0)=0,"Not _Provided",_xlfn.XLOOKUP(C878,customers!$A$1:$A$1001,customers!$C$1:$C$1001,,0))</f>
        <v>ocomberob@goo.gl</v>
      </c>
      <c r="H878" s="2" t="str">
        <f>_xlfn.XLOOKUP(C878,customers!$A$1:$A$1001,customers!$G$1:$G$1001,,0)</f>
        <v>Ireland</v>
      </c>
      <c r="I878" t="str">
        <f>INDEX(products!$B$1:$B$49,MATCH($D878,products!$A$1:$A$49,0))</f>
        <v>Ara</v>
      </c>
      <c r="J878" t="str">
        <f>INDEX(products!$C$1:$C$49,MATCH($D878,products!$A$1:$A$49,0))</f>
        <v>L</v>
      </c>
      <c r="K878" s="4">
        <f>INDEX(products!$D$1:$D$49,MATCH($D878,products!$A$1:$A$49,0))</f>
        <v>0.5</v>
      </c>
      <c r="L878" s="5">
        <f>INDEX(products!$E$1:$E$49,MATCH($D878,products!$A$1:$A$49,0))</f>
        <v>7.77</v>
      </c>
      <c r="M878" s="5">
        <f t="shared" si="13"/>
        <v>46.62</v>
      </c>
      <c r="N878" t="str" cm="1">
        <f t="array" ref="N878">_xlfn.IFS(I878="Rob","Robusta",I878="Exc","Excelsa",I878="Ara","Arabica",I878="Lib","Liberica")</f>
        <v>Arabica</v>
      </c>
      <c r="O878" t="str" cm="1">
        <f t="array" ref="O878">_xlfn.SWITCH($J878,"M","Medium","L","Light","D","Dark")</f>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IF(_xlfn.XLOOKUP(C879,customers!$A$1:$A$1001,customers!$C$1:$C$1001,,0)=0,"Not _Provided",_xlfn.XLOOKUP(C879,customers!$A$1:$A$1001,customers!$C$1:$C$1001,,0))</f>
        <v>ztramelod@netlog.com</v>
      </c>
      <c r="H879" s="2" t="str">
        <f>_xlfn.XLOOKUP(C879,customers!$A$1:$A$1001,customers!$G$1:$G$1001,,0)</f>
        <v>United States</v>
      </c>
      <c r="I879" t="str">
        <f>INDEX(products!$B$1:$B$49,MATCH($D879,products!$A$1:$A$49,0))</f>
        <v>Lib</v>
      </c>
      <c r="J879" t="str">
        <f>INDEX(products!$C$1:$C$49,MATCH($D879,products!$A$1:$A$49,0))</f>
        <v>L</v>
      </c>
      <c r="K879" s="4">
        <f>INDEX(products!$D$1:$D$49,MATCH($D879,products!$A$1:$A$49,0))</f>
        <v>0.5</v>
      </c>
      <c r="L879" s="5">
        <f>INDEX(products!$E$1:$E$49,MATCH($D879,products!$A$1:$A$49,0))</f>
        <v>9.51</v>
      </c>
      <c r="M879" s="5">
        <f t="shared" si="13"/>
        <v>28.53</v>
      </c>
      <c r="N879" t="str" cm="1">
        <f t="array" ref="N879">_xlfn.IFS(I879="Rob","Robusta",I879="Exc","Excelsa",I879="Ara","Arabica",I879="Lib","Liberica")</f>
        <v>Liberica</v>
      </c>
      <c r="O879" t="str" cm="1">
        <f t="array" ref="O879">_xlfn.SWITCH($J879,"M","Medium","L","Light","D","Dark")</f>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IF(_xlfn.XLOOKUP(C880,customers!$A$1:$A$1001,customers!$C$1:$C$1001,,0)=0,"Not _Provided",_xlfn.XLOOKUP(C880,customers!$A$1:$A$1001,customers!$C$1:$C$1001,,0))</f>
        <v>Not _Provided</v>
      </c>
      <c r="H880" s="2" t="str">
        <f>_xlfn.XLOOKUP(C880,customers!$A$1:$A$1001,customers!$G$1:$G$1001,,0)</f>
        <v>United States</v>
      </c>
      <c r="I880" t="str">
        <f>INDEX(products!$B$1:$B$49,MATCH($D880,products!$A$1:$A$49,0))</f>
        <v>Rob</v>
      </c>
      <c r="J880" t="str">
        <f>INDEX(products!$C$1:$C$49,MATCH($D880,products!$A$1:$A$49,0))</f>
        <v>L</v>
      </c>
      <c r="K880" s="4">
        <f>INDEX(products!$D$1:$D$49,MATCH($D880,products!$A$1:$A$49,0))</f>
        <v>2.5</v>
      </c>
      <c r="L880" s="5">
        <f>INDEX(products!$E$1:$E$49,MATCH($D880,products!$A$1:$A$49,0))</f>
        <v>27.484999999999996</v>
      </c>
      <c r="M880" s="5">
        <f t="shared" si="13"/>
        <v>27.484999999999996</v>
      </c>
      <c r="N880" t="str" cm="1">
        <f t="array" ref="N880">_xlfn.IFS(I880="Rob","Robusta",I880="Exc","Excelsa",I880="Ara","Arabica",I880="Lib","Liberica")</f>
        <v>Robusta</v>
      </c>
      <c r="O880" t="str" cm="1">
        <f t="array" ref="O880">_xlfn.SWITCH($J880,"M","Medium","L","Light","D","Dark")</f>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IF(_xlfn.XLOOKUP(C881,customers!$A$1:$A$1001,customers!$C$1:$C$1001,,0)=0,"Not _Provided",_xlfn.XLOOKUP(C881,customers!$A$1:$A$1001,customers!$C$1:$C$1001,,0))</f>
        <v>Not _Provided</v>
      </c>
      <c r="H881" s="2" t="str">
        <f>_xlfn.XLOOKUP(C881,customers!$A$1:$A$1001,customers!$G$1:$G$1001,,0)</f>
        <v>United States</v>
      </c>
      <c r="I881" t="str">
        <f>INDEX(products!$B$1:$B$49,MATCH($D881,products!$A$1:$A$49,0))</f>
        <v>Exc</v>
      </c>
      <c r="J881" t="str">
        <f>INDEX(products!$C$1:$C$49,MATCH($D881,products!$A$1:$A$49,0))</f>
        <v>D</v>
      </c>
      <c r="K881" s="4">
        <f>INDEX(products!$D$1:$D$49,MATCH($D881,products!$A$1:$A$49,0))</f>
        <v>0.2</v>
      </c>
      <c r="L881" s="5">
        <f>INDEX(products!$E$1:$E$49,MATCH($D881,products!$A$1:$A$49,0))</f>
        <v>3.645</v>
      </c>
      <c r="M881" s="5">
        <f t="shared" si="13"/>
        <v>10.935</v>
      </c>
      <c r="N881" t="str" cm="1">
        <f t="array" ref="N881">_xlfn.IFS(I881="Rob","Robusta",I881="Exc","Excelsa",I881="Ara","Arabica",I881="Lib","Liberica")</f>
        <v>Excelsa</v>
      </c>
      <c r="O881" t="str" cm="1">
        <f t="array" ref="O881">_xlfn.SWITCH($J881,"M","Medium","L","Light","D","Dark")</f>
        <v>Dark</v>
      </c>
      <c r="P881" t="str">
        <f>_xlfn.XLOOKUP(Table1[[#This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IF(_xlfn.XLOOKUP(C882,customers!$A$1:$A$1001,customers!$C$1:$C$1001,,0)=0,"Not _Provided",_xlfn.XLOOKUP(C882,customers!$A$1:$A$1001,customers!$C$1:$C$1001,,0))</f>
        <v>chatfullog@ebay.com</v>
      </c>
      <c r="H882" s="2" t="str">
        <f>_xlfn.XLOOKUP(C882,customers!$A$1:$A$1001,customers!$G$1:$G$1001,,0)</f>
        <v>United States</v>
      </c>
      <c r="I882" t="str">
        <f>INDEX(products!$B$1:$B$49,MATCH($D882,products!$A$1:$A$49,0))</f>
        <v>Rob</v>
      </c>
      <c r="J882" t="str">
        <f>INDEX(products!$C$1:$C$49,MATCH($D882,products!$A$1:$A$49,0))</f>
        <v>L</v>
      </c>
      <c r="K882" s="4">
        <f>INDEX(products!$D$1:$D$49,MATCH($D882,products!$A$1:$A$49,0))</f>
        <v>0.2</v>
      </c>
      <c r="L882" s="5">
        <f>INDEX(products!$E$1:$E$49,MATCH($D882,products!$A$1:$A$49,0))</f>
        <v>3.5849999999999995</v>
      </c>
      <c r="M882" s="5">
        <f t="shared" si="13"/>
        <v>7.169999999999999</v>
      </c>
      <c r="N882" t="str" cm="1">
        <f t="array" ref="N882">_xlfn.IFS(I882="Rob","Robusta",I882="Exc","Excelsa",I882="Ara","Arabica",I882="Lib","Liberica")</f>
        <v>Robusta</v>
      </c>
      <c r="O882" t="str" cm="1">
        <f t="array" ref="O882">_xlfn.SWITCH($J882,"M","Medium","L","Light","D","Dark")</f>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IF(_xlfn.XLOOKUP(C883,customers!$A$1:$A$1001,customers!$C$1:$C$1001,,0)=0,"Not _Provided",_xlfn.XLOOKUP(C883,customers!$A$1:$A$1001,customers!$C$1:$C$1001,,0))</f>
        <v>Not _Provided</v>
      </c>
      <c r="H883" s="2" t="str">
        <f>_xlfn.XLOOKUP(C883,customers!$A$1:$A$1001,customers!$G$1:$G$1001,,0)</f>
        <v>United States</v>
      </c>
      <c r="I883" t="str">
        <f>INDEX(products!$B$1:$B$49,MATCH($D883,products!$A$1:$A$49,0))</f>
        <v>Ara</v>
      </c>
      <c r="J883" t="str">
        <f>INDEX(products!$C$1:$C$49,MATCH($D883,products!$A$1:$A$49,0))</f>
        <v>L</v>
      </c>
      <c r="K883" s="4">
        <f>INDEX(products!$D$1:$D$49,MATCH($D883,products!$A$1:$A$49,0))</f>
        <v>0.2</v>
      </c>
      <c r="L883" s="5">
        <f>INDEX(products!$E$1:$E$49,MATCH($D883,products!$A$1:$A$49,0))</f>
        <v>3.8849999999999998</v>
      </c>
      <c r="M883" s="5">
        <f t="shared" si="13"/>
        <v>23.31</v>
      </c>
      <c r="N883" t="str" cm="1">
        <f t="array" ref="N883">_xlfn.IFS(I883="Rob","Robusta",I883="Exc","Excelsa",I883="Ara","Arabica",I883="Lib","Liberica")</f>
        <v>Arabica</v>
      </c>
      <c r="O883" t="str" cm="1">
        <f t="array" ref="O883">_xlfn.SWITCH($J883,"M","Medium","L","Light","D","Dark")</f>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IF(_xlfn.XLOOKUP(C884,customers!$A$1:$A$1001,customers!$C$1:$C$1001,,0)=0,"Not _Provided",_xlfn.XLOOKUP(C884,customers!$A$1:$A$1001,customers!$C$1:$C$1001,,0))</f>
        <v>kmarrisonoq@dropbox.com</v>
      </c>
      <c r="H884" s="2" t="str">
        <f>_xlfn.XLOOKUP(C884,customers!$A$1:$A$1001,customers!$G$1:$G$1001,,0)</f>
        <v>United States</v>
      </c>
      <c r="I884" t="str">
        <f>INDEX(products!$B$1:$B$49,MATCH($D884,products!$A$1:$A$49,0))</f>
        <v>Ara</v>
      </c>
      <c r="J884" t="str">
        <f>INDEX(products!$C$1:$C$49,MATCH($D884,products!$A$1:$A$49,0))</f>
        <v>D</v>
      </c>
      <c r="K884" s="4">
        <f>INDEX(products!$D$1:$D$49,MATCH($D884,products!$A$1:$A$49,0))</f>
        <v>2.5</v>
      </c>
      <c r="L884" s="5">
        <f>INDEX(products!$E$1:$E$49,MATCH($D884,products!$A$1:$A$49,0))</f>
        <v>22.884999999999998</v>
      </c>
      <c r="M884" s="5">
        <f t="shared" si="13"/>
        <v>114.42499999999998</v>
      </c>
      <c r="N884" t="str" cm="1">
        <f t="array" ref="N884">_xlfn.IFS(I884="Rob","Robusta",I884="Exc","Excelsa",I884="Ara","Arabica",I884="Lib","Liberica")</f>
        <v>Arabica</v>
      </c>
      <c r="O884" t="str" cm="1">
        <f t="array" ref="O884">_xlfn.SWITCH($J884,"M","Medium","L","Light","D","Dark")</f>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IF(_xlfn.XLOOKUP(C885,customers!$A$1:$A$1001,customers!$C$1:$C$1001,,0)=0,"Not _Provided",_xlfn.XLOOKUP(C885,customers!$A$1:$A$1001,customers!$C$1:$C$1001,,0))</f>
        <v>lagnolooj@pinterest.com</v>
      </c>
      <c r="H885" s="2" t="str">
        <f>_xlfn.XLOOKUP(C885,customers!$A$1:$A$1001,customers!$G$1:$G$1001,,0)</f>
        <v>United States</v>
      </c>
      <c r="I885" t="str">
        <f>INDEX(products!$B$1:$B$49,MATCH($D885,products!$A$1:$A$49,0))</f>
        <v>Ara</v>
      </c>
      <c r="J885" t="str">
        <f>INDEX(products!$C$1:$C$49,MATCH($D885,products!$A$1:$A$49,0))</f>
        <v>M</v>
      </c>
      <c r="K885" s="4">
        <f>INDEX(products!$D$1:$D$49,MATCH($D885,products!$A$1:$A$49,0))</f>
        <v>2.5</v>
      </c>
      <c r="L885" s="5">
        <f>INDEX(products!$E$1:$E$49,MATCH($D885,products!$A$1:$A$49,0))</f>
        <v>25.874999999999996</v>
      </c>
      <c r="M885" s="5">
        <f t="shared" si="13"/>
        <v>77.624999999999986</v>
      </c>
      <c r="N885" t="str" cm="1">
        <f t="array" ref="N885">_xlfn.IFS(I885="Rob","Robusta",I885="Exc","Excelsa",I885="Ara","Arabica",I885="Lib","Liberica")</f>
        <v>Arabica</v>
      </c>
      <c r="O885" t="str" cm="1">
        <f t="array" ref="O885">_xlfn.SWITCH($J885,"M","Medium","L","Light","D","Dark")</f>
        <v>Medium</v>
      </c>
      <c r="P885" t="str">
        <f>_xlfn.XLOOKUP(Table1[[#This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IF(_xlfn.XLOOKUP(C886,customers!$A$1:$A$1001,customers!$C$1:$C$1001,,0)=0,"Not _Provided",_xlfn.XLOOKUP(C886,customers!$A$1:$A$1001,customers!$C$1:$C$1001,,0))</f>
        <v>dkiddyok@fda.gov</v>
      </c>
      <c r="H886" s="2" t="str">
        <f>_xlfn.XLOOKUP(C886,customers!$A$1:$A$1001,customers!$G$1:$G$1001,,0)</f>
        <v>United States</v>
      </c>
      <c r="I886" t="str">
        <f>INDEX(products!$B$1:$B$49,MATCH($D886,products!$A$1:$A$49,0))</f>
        <v>Rob</v>
      </c>
      <c r="J886" t="str">
        <f>INDEX(products!$C$1:$C$49,MATCH($D886,products!$A$1:$A$49,0))</f>
        <v>D</v>
      </c>
      <c r="K886" s="4">
        <f>INDEX(products!$D$1:$D$49,MATCH($D886,products!$A$1:$A$49,0))</f>
        <v>0.5</v>
      </c>
      <c r="L886" s="5">
        <f>INDEX(products!$E$1:$E$49,MATCH($D886,products!$A$1:$A$49,0))</f>
        <v>5.3699999999999992</v>
      </c>
      <c r="M886" s="5">
        <f t="shared" si="13"/>
        <v>5.3699999999999992</v>
      </c>
      <c r="N886" t="str" cm="1">
        <f t="array" ref="N886">_xlfn.IFS(I886="Rob","Robusta",I886="Exc","Excelsa",I886="Ara","Arabica",I886="Lib","Liberica")</f>
        <v>Robusta</v>
      </c>
      <c r="O886" t="str" cm="1">
        <f t="array" ref="O886">_xlfn.SWITCH($J886,"M","Medium","L","Light","D","Dark")</f>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IF(_xlfn.XLOOKUP(C887,customers!$A$1:$A$1001,customers!$C$1:$C$1001,,0)=0,"Not _Provided",_xlfn.XLOOKUP(C887,customers!$A$1:$A$1001,customers!$C$1:$C$1001,,0))</f>
        <v>hpetroulisol@state.tx.us</v>
      </c>
      <c r="H887" s="2" t="str">
        <f>_xlfn.XLOOKUP(C887,customers!$A$1:$A$1001,customers!$G$1:$G$1001,,0)</f>
        <v>Ireland</v>
      </c>
      <c r="I887" t="str">
        <f>INDEX(products!$B$1:$B$49,MATCH($D887,products!$A$1:$A$49,0))</f>
        <v>Rob</v>
      </c>
      <c r="J887" t="str">
        <f>INDEX(products!$C$1:$C$49,MATCH($D887,products!$A$1:$A$49,0))</f>
        <v>D</v>
      </c>
      <c r="K887" s="4">
        <f>INDEX(products!$D$1:$D$49,MATCH($D887,products!$A$1:$A$49,0))</f>
        <v>2.5</v>
      </c>
      <c r="L887" s="5">
        <f>INDEX(products!$E$1:$E$49,MATCH($D887,products!$A$1:$A$49,0))</f>
        <v>20.584999999999997</v>
      </c>
      <c r="M887" s="5">
        <f t="shared" si="13"/>
        <v>123.50999999999999</v>
      </c>
      <c r="N887" t="str" cm="1">
        <f t="array" ref="N887">_xlfn.IFS(I887="Rob","Robusta",I887="Exc","Excelsa",I887="Ara","Arabica",I887="Lib","Liberica")</f>
        <v>Robusta</v>
      </c>
      <c r="O887" t="str" cm="1">
        <f t="array" ref="O887">_xlfn.SWITCH($J887,"M","Medium","L","Light","D","Dark")</f>
        <v>Dark</v>
      </c>
      <c r="P887" t="str">
        <f>_xlfn.XLOOKUP(Table1[[#This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IF(_xlfn.XLOOKUP(C888,customers!$A$1:$A$1001,customers!$C$1:$C$1001,,0)=0,"Not _Provided",_xlfn.XLOOKUP(C888,customers!$A$1:$A$1001,customers!$C$1:$C$1001,,0))</f>
        <v>mschollom@taobao.com</v>
      </c>
      <c r="H888" s="2" t="str">
        <f>_xlfn.XLOOKUP(C888,customers!$A$1:$A$1001,customers!$G$1:$G$1001,,0)</f>
        <v>United States</v>
      </c>
      <c r="I888" t="str">
        <f>INDEX(products!$B$1:$B$49,MATCH($D888,products!$A$1:$A$49,0))</f>
        <v>Lib</v>
      </c>
      <c r="J888" t="str">
        <f>INDEX(products!$C$1:$C$49,MATCH($D888,products!$A$1:$A$49,0))</f>
        <v>M</v>
      </c>
      <c r="K888" s="4">
        <f>INDEX(products!$D$1:$D$49,MATCH($D888,products!$A$1:$A$49,0))</f>
        <v>0.5</v>
      </c>
      <c r="L888" s="5">
        <f>INDEX(products!$E$1:$E$49,MATCH($D888,products!$A$1:$A$49,0))</f>
        <v>8.73</v>
      </c>
      <c r="M888" s="5">
        <f t="shared" si="13"/>
        <v>17.46</v>
      </c>
      <c r="N888" t="str" cm="1">
        <f t="array" ref="N888">_xlfn.IFS(I888="Rob","Robusta",I888="Exc","Excelsa",I888="Ara","Arabica",I888="Lib","Liberica")</f>
        <v>Liberica</v>
      </c>
      <c r="O888" t="str" cm="1">
        <f t="array" ref="O888">_xlfn.SWITCH($J888,"M","Medium","L","Light","D","Dark")</f>
        <v>Medium</v>
      </c>
      <c r="P888" t="str">
        <f>_xlfn.XLOOKUP(Table1[[#This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IF(_xlfn.XLOOKUP(C889,customers!$A$1:$A$1001,customers!$C$1:$C$1001,,0)=0,"Not _Provided",_xlfn.XLOOKUP(C889,customers!$A$1:$A$1001,customers!$C$1:$C$1001,,0))</f>
        <v>kfersonon@g.co</v>
      </c>
      <c r="H889" s="2" t="str">
        <f>_xlfn.XLOOKUP(C889,customers!$A$1:$A$1001,customers!$G$1:$G$1001,,0)</f>
        <v>United States</v>
      </c>
      <c r="I889" t="str">
        <f>INDEX(products!$B$1:$B$49,MATCH($D889,products!$A$1:$A$49,0))</f>
        <v>Exc</v>
      </c>
      <c r="J889" t="str">
        <f>INDEX(products!$C$1:$C$49,MATCH($D889,products!$A$1:$A$49,0))</f>
        <v>L</v>
      </c>
      <c r="K889" s="4">
        <f>INDEX(products!$D$1:$D$49,MATCH($D889,products!$A$1:$A$49,0))</f>
        <v>0.2</v>
      </c>
      <c r="L889" s="5">
        <f>INDEX(products!$E$1:$E$49,MATCH($D889,products!$A$1:$A$49,0))</f>
        <v>4.4550000000000001</v>
      </c>
      <c r="M889" s="5">
        <f t="shared" si="13"/>
        <v>13.365</v>
      </c>
      <c r="N889" t="str" cm="1">
        <f t="array" ref="N889">_xlfn.IFS(I889="Rob","Robusta",I889="Exc","Excelsa",I889="Ara","Arabica",I889="Lib","Liberica")</f>
        <v>Excelsa</v>
      </c>
      <c r="O889" t="str" cm="1">
        <f t="array" ref="O889">_xlfn.SWITCH($J889,"M","Medium","L","Light","D","Dark")</f>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IF(_xlfn.XLOOKUP(C890,customers!$A$1:$A$1001,customers!$C$1:$C$1001,,0)=0,"Not _Provided",_xlfn.XLOOKUP(C890,customers!$A$1:$A$1001,customers!$C$1:$C$1001,,0))</f>
        <v>bkellowayoo@omniture.com</v>
      </c>
      <c r="H890" s="2" t="str">
        <f>_xlfn.XLOOKUP(C890,customers!$A$1:$A$1001,customers!$G$1:$G$1001,,0)</f>
        <v>United States</v>
      </c>
      <c r="I890" t="str">
        <f>INDEX(products!$B$1:$B$49,MATCH($D890,products!$A$1:$A$49,0))</f>
        <v>Ara</v>
      </c>
      <c r="J890" t="str">
        <f>INDEX(products!$C$1:$C$49,MATCH($D890,products!$A$1:$A$49,0))</f>
        <v>L</v>
      </c>
      <c r="K890" s="4">
        <f>INDEX(products!$D$1:$D$49,MATCH($D890,products!$A$1:$A$49,0))</f>
        <v>0.2</v>
      </c>
      <c r="L890" s="5">
        <f>INDEX(products!$E$1:$E$49,MATCH($D890,products!$A$1:$A$49,0))</f>
        <v>3.8849999999999998</v>
      </c>
      <c r="M890" s="5">
        <f t="shared" si="13"/>
        <v>7.77</v>
      </c>
      <c r="N890" t="str" cm="1">
        <f t="array" ref="N890">_xlfn.IFS(I890="Rob","Robusta",I890="Exc","Excelsa",I890="Ara","Arabica",I890="Lib","Liberica")</f>
        <v>Arabica</v>
      </c>
      <c r="O890" t="str" cm="1">
        <f t="array" ref="O890">_xlfn.SWITCH($J890,"M","Medium","L","Light","D","Dark")</f>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IF(_xlfn.XLOOKUP(C891,customers!$A$1:$A$1001,customers!$C$1:$C$1001,,0)=0,"Not _Provided",_xlfn.XLOOKUP(C891,customers!$A$1:$A$1001,customers!$C$1:$C$1001,,0))</f>
        <v>soliffeop@yellowbook.com</v>
      </c>
      <c r="H891" s="2" t="str">
        <f>_xlfn.XLOOKUP(C891,customers!$A$1:$A$1001,customers!$G$1:$G$1001,,0)</f>
        <v>United States</v>
      </c>
      <c r="I891" t="str">
        <f>INDEX(products!$B$1:$B$49,MATCH($D891,products!$A$1:$A$49,0))</f>
        <v>Rob</v>
      </c>
      <c r="J891" t="str">
        <f>INDEX(products!$C$1:$C$49,MATCH($D891,products!$A$1:$A$49,0))</f>
        <v>D</v>
      </c>
      <c r="K891" s="4">
        <f>INDEX(products!$D$1:$D$49,MATCH($D891,products!$A$1:$A$49,0))</f>
        <v>0.2</v>
      </c>
      <c r="L891" s="5">
        <f>INDEX(products!$E$1:$E$49,MATCH($D891,products!$A$1:$A$49,0))</f>
        <v>2.6849999999999996</v>
      </c>
      <c r="M891" s="5">
        <f t="shared" si="13"/>
        <v>2.6849999999999996</v>
      </c>
      <c r="N891" t="str" cm="1">
        <f t="array" ref="N891">_xlfn.IFS(I891="Rob","Robusta",I891="Exc","Excelsa",I891="Ara","Arabica",I891="Lib","Liberica")</f>
        <v>Robusta</v>
      </c>
      <c r="O891" t="str" cm="1">
        <f t="array" ref="O891">_xlfn.SWITCH($J891,"M","Medium","L","Light","D","Dark")</f>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IF(_xlfn.XLOOKUP(C892,customers!$A$1:$A$1001,customers!$C$1:$C$1001,,0)=0,"Not _Provided",_xlfn.XLOOKUP(C892,customers!$A$1:$A$1001,customers!$C$1:$C$1001,,0))</f>
        <v>kmarrisonoq@dropbox.com</v>
      </c>
      <c r="H892" s="2" t="str">
        <f>_xlfn.XLOOKUP(C892,customers!$A$1:$A$1001,customers!$G$1:$G$1001,,0)</f>
        <v>United States</v>
      </c>
      <c r="I892" t="str">
        <f>INDEX(products!$B$1:$B$49,MATCH($D892,products!$A$1:$A$49,0))</f>
        <v>Rob</v>
      </c>
      <c r="J892" t="str">
        <f>INDEX(products!$C$1:$C$49,MATCH($D892,products!$A$1:$A$49,0))</f>
        <v>D</v>
      </c>
      <c r="K892" s="4">
        <f>INDEX(products!$D$1:$D$49,MATCH($D892,products!$A$1:$A$49,0))</f>
        <v>2.5</v>
      </c>
      <c r="L892" s="5">
        <f>INDEX(products!$E$1:$E$49,MATCH($D892,products!$A$1:$A$49,0))</f>
        <v>20.584999999999997</v>
      </c>
      <c r="M892" s="5">
        <f t="shared" si="13"/>
        <v>20.584999999999997</v>
      </c>
      <c r="N892" t="str" cm="1">
        <f t="array" ref="N892">_xlfn.IFS(I892="Rob","Robusta",I892="Exc","Excelsa",I892="Ara","Arabica",I892="Lib","Liberica")</f>
        <v>Robusta</v>
      </c>
      <c r="O892" t="str" cm="1">
        <f t="array" ref="O892">_xlfn.SWITCH($J892,"M","Medium","L","Light","D","Dark")</f>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IF(_xlfn.XLOOKUP(C893,customers!$A$1:$A$1001,customers!$C$1:$C$1001,,0)=0,"Not _Provided",_xlfn.XLOOKUP(C893,customers!$A$1:$A$1001,customers!$C$1:$C$1001,,0))</f>
        <v>cdolohuntyor@dailymail.co.uk</v>
      </c>
      <c r="H893" s="2" t="str">
        <f>_xlfn.XLOOKUP(C893,customers!$A$1:$A$1001,customers!$G$1:$G$1001,,0)</f>
        <v>United States</v>
      </c>
      <c r="I893" t="str">
        <f>INDEX(products!$B$1:$B$49,MATCH($D893,products!$A$1:$A$49,0))</f>
        <v>Ara</v>
      </c>
      <c r="J893" t="str">
        <f>INDEX(products!$C$1:$C$49,MATCH($D893,products!$A$1:$A$49,0))</f>
        <v>D</v>
      </c>
      <c r="K893" s="4">
        <f>INDEX(products!$D$1:$D$49,MATCH($D893,products!$A$1:$A$49,0))</f>
        <v>2.5</v>
      </c>
      <c r="L893" s="5">
        <f>INDEX(products!$E$1:$E$49,MATCH($D893,products!$A$1:$A$49,0))</f>
        <v>22.884999999999998</v>
      </c>
      <c r="M893" s="5">
        <f t="shared" si="13"/>
        <v>114.42499999999998</v>
      </c>
      <c r="N893" t="str" cm="1">
        <f t="array" ref="N893">_xlfn.IFS(I893="Rob","Robusta",I893="Exc","Excelsa",I893="Ara","Arabica",I893="Lib","Liberica")</f>
        <v>Arabica</v>
      </c>
      <c r="O893" t="str" cm="1">
        <f t="array" ref="O893">_xlfn.SWITCH($J893,"M","Medium","L","Light","D","Dark")</f>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IF(_xlfn.XLOOKUP(C894,customers!$A$1:$A$1001,customers!$C$1:$C$1001,,0)=0,"Not _Provided",_xlfn.XLOOKUP(C894,customers!$A$1:$A$1001,customers!$C$1:$C$1001,,0))</f>
        <v>pvasilenkoos@addtoany.com</v>
      </c>
      <c r="H894" s="2" t="str">
        <f>_xlfn.XLOOKUP(C894,customers!$A$1:$A$1001,customers!$G$1:$G$1001,,0)</f>
        <v>United Kingdom</v>
      </c>
      <c r="I894" t="str">
        <f>INDEX(products!$B$1:$B$49,MATCH($D894,products!$A$1:$A$49,0))</f>
        <v>Exc</v>
      </c>
      <c r="J894" t="str">
        <f>INDEX(products!$C$1:$C$49,MATCH($D894,products!$A$1:$A$49,0))</f>
        <v>M</v>
      </c>
      <c r="K894" s="4">
        <f>INDEX(products!$D$1:$D$49,MATCH($D894,products!$A$1:$A$49,0))</f>
        <v>0.2</v>
      </c>
      <c r="L894" s="5">
        <f>INDEX(products!$E$1:$E$49,MATCH($D894,products!$A$1:$A$49,0))</f>
        <v>4.125</v>
      </c>
      <c r="M894" s="5">
        <f t="shared" si="13"/>
        <v>20.625</v>
      </c>
      <c r="N894" t="str" cm="1">
        <f t="array" ref="N894">_xlfn.IFS(I894="Rob","Robusta",I894="Exc","Excelsa",I894="Ara","Arabica",I894="Lib","Liberica")</f>
        <v>Excelsa</v>
      </c>
      <c r="O894" t="str" cm="1">
        <f t="array" ref="O894">_xlfn.SWITCH($J894,"M","Medium","L","Light","D","Dark")</f>
        <v>Medium</v>
      </c>
      <c r="P894" t="str">
        <f>_xlfn.XLOOKUP(Table1[[#This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IF(_xlfn.XLOOKUP(C895,customers!$A$1:$A$1001,customers!$C$1:$C$1001,,0)=0,"Not _Provided",_xlfn.XLOOKUP(C895,customers!$A$1:$A$1001,customers!$C$1:$C$1001,,0))</f>
        <v>rschankelborgot@ameblo.jp</v>
      </c>
      <c r="H895" s="2" t="str">
        <f>_xlfn.XLOOKUP(C895,customers!$A$1:$A$1001,customers!$G$1:$G$1001,,0)</f>
        <v>United States</v>
      </c>
      <c r="I895" t="str">
        <f>INDEX(products!$B$1:$B$49,MATCH($D895,products!$A$1:$A$49,0))</f>
        <v>Lib</v>
      </c>
      <c r="J895" t="str">
        <f>INDEX(products!$C$1:$C$49,MATCH($D895,products!$A$1:$A$49,0))</f>
        <v>L</v>
      </c>
      <c r="K895" s="4">
        <f>INDEX(products!$D$1:$D$49,MATCH($D895,products!$A$1:$A$49,0))</f>
        <v>0.5</v>
      </c>
      <c r="L895" s="5">
        <f>INDEX(products!$E$1:$E$49,MATCH($D895,products!$A$1:$A$49,0))</f>
        <v>9.51</v>
      </c>
      <c r="M895" s="5">
        <f t="shared" si="13"/>
        <v>57.06</v>
      </c>
      <c r="N895" t="str" cm="1">
        <f t="array" ref="N895">_xlfn.IFS(I895="Rob","Robusta",I895="Exc","Excelsa",I895="Ara","Arabica",I895="Lib","Liberica")</f>
        <v>Liberica</v>
      </c>
      <c r="O895" t="str" cm="1">
        <f t="array" ref="O895">_xlfn.SWITCH($J895,"M","Medium","L","Light","D","Dark")</f>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IF(_xlfn.XLOOKUP(C896,customers!$A$1:$A$1001,customers!$C$1:$C$1001,,0)=0,"Not _Provided",_xlfn.XLOOKUP(C896,customers!$A$1:$A$1001,customers!$C$1:$C$1001,,0))</f>
        <v>Not _Provided</v>
      </c>
      <c r="H896" s="2" t="str">
        <f>_xlfn.XLOOKUP(C896,customers!$A$1:$A$1001,customers!$G$1:$G$1001,,0)</f>
        <v>Ireland</v>
      </c>
      <c r="I896" t="str">
        <f>INDEX(products!$B$1:$B$49,MATCH($D896,products!$A$1:$A$49,0))</f>
        <v>Rob</v>
      </c>
      <c r="J896" t="str">
        <f>INDEX(products!$C$1:$C$49,MATCH($D896,products!$A$1:$A$49,0))</f>
        <v>D</v>
      </c>
      <c r="K896" s="4">
        <f>INDEX(products!$D$1:$D$49,MATCH($D896,products!$A$1:$A$49,0))</f>
        <v>2.5</v>
      </c>
      <c r="L896" s="5">
        <f>INDEX(products!$E$1:$E$49,MATCH($D896,products!$A$1:$A$49,0))</f>
        <v>20.584999999999997</v>
      </c>
      <c r="M896" s="5">
        <f t="shared" si="13"/>
        <v>82.339999999999989</v>
      </c>
      <c r="N896" t="str" cm="1">
        <f t="array" ref="N896">_xlfn.IFS(I896="Rob","Robusta",I896="Exc","Excelsa",I896="Ara","Arabica",I896="Lib","Liberica")</f>
        <v>Robusta</v>
      </c>
      <c r="O896" t="str" cm="1">
        <f t="array" ref="O896">_xlfn.SWITCH($J896,"M","Medium","L","Light","D","Dark")</f>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IF(_xlfn.XLOOKUP(C897,customers!$A$1:$A$1001,customers!$C$1:$C$1001,,0)=0,"Not _Provided",_xlfn.XLOOKUP(C897,customers!$A$1:$A$1001,customers!$C$1:$C$1001,,0))</f>
        <v>Not _Provided</v>
      </c>
      <c r="H897" s="2" t="str">
        <f>_xlfn.XLOOKUP(C897,customers!$A$1:$A$1001,customers!$G$1:$G$1001,,0)</f>
        <v>United States</v>
      </c>
      <c r="I897" t="str">
        <f>INDEX(products!$B$1:$B$49,MATCH($D897,products!$A$1:$A$49,0))</f>
        <v>Exc</v>
      </c>
      <c r="J897" t="str">
        <f>INDEX(products!$C$1:$C$49,MATCH($D897,products!$A$1:$A$49,0))</f>
        <v>M</v>
      </c>
      <c r="K897" s="4">
        <f>INDEX(products!$D$1:$D$49,MATCH($D897,products!$A$1:$A$49,0))</f>
        <v>2.5</v>
      </c>
      <c r="L897" s="5">
        <f>INDEX(products!$E$1:$E$49,MATCH($D897,products!$A$1:$A$49,0))</f>
        <v>31.624999999999996</v>
      </c>
      <c r="M897" s="5">
        <f t="shared" si="13"/>
        <v>158.12499999999997</v>
      </c>
      <c r="N897" t="str" cm="1">
        <f t="array" ref="N897">_xlfn.IFS(I897="Rob","Robusta",I897="Exc","Excelsa",I897="Ara","Arabica",I897="Lib","Liberica")</f>
        <v>Excelsa</v>
      </c>
      <c r="O897" t="str" cm="1">
        <f t="array" ref="O897">_xlfn.SWITCH($J897,"M","Medium","L","Light","D","Dark")</f>
        <v>Medium</v>
      </c>
      <c r="P897" t="str">
        <f>_xlfn.XLOOKUP(Table1[[#This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IF(_xlfn.XLOOKUP(C898,customers!$A$1:$A$1001,customers!$C$1:$C$1001,,0)=0,"Not _Provided",_xlfn.XLOOKUP(C898,customers!$A$1:$A$1001,customers!$C$1:$C$1001,,0))</f>
        <v>bcargenow@geocities.jp</v>
      </c>
      <c r="H898" s="2" t="str">
        <f>_xlfn.XLOOKUP(C898,customers!$A$1:$A$1001,customers!$G$1:$G$1001,,0)</f>
        <v>United States</v>
      </c>
      <c r="I898" t="str">
        <f>INDEX(products!$B$1:$B$49,MATCH($D898,products!$A$1:$A$49,0))</f>
        <v>Rob</v>
      </c>
      <c r="J898" t="str">
        <f>INDEX(products!$C$1:$C$49,MATCH($D898,products!$A$1:$A$49,0))</f>
        <v>D</v>
      </c>
      <c r="K898" s="4">
        <f>INDEX(products!$D$1:$D$49,MATCH($D898,products!$A$1:$A$49,0))</f>
        <v>0.5</v>
      </c>
      <c r="L898" s="5">
        <f>INDEX(products!$E$1:$E$49,MATCH($D898,products!$A$1:$A$49,0))</f>
        <v>5.3699999999999992</v>
      </c>
      <c r="M898" s="5">
        <f t="shared" si="13"/>
        <v>32.22</v>
      </c>
      <c r="N898" t="str" cm="1">
        <f t="array" ref="N898">_xlfn.IFS(I898="Rob","Robusta",I898="Exc","Excelsa",I898="Ara","Arabica",I898="Lib","Liberica")</f>
        <v>Robusta</v>
      </c>
      <c r="O898" t="str" cm="1">
        <f t="array" ref="O898">_xlfn.SWITCH($J898,"M","Medium","L","Light","D","Dark")</f>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IF(_xlfn.XLOOKUP(C899,customers!$A$1:$A$1001,customers!$C$1:$C$1001,,0)=0,"Not _Provided",_xlfn.XLOOKUP(C899,customers!$A$1:$A$1001,customers!$C$1:$C$1001,,0))</f>
        <v>rsticklerox@printfriendly.com</v>
      </c>
      <c r="H899" s="2" t="str">
        <f>_xlfn.XLOOKUP(C899,customers!$A$1:$A$1001,customers!$G$1:$G$1001,,0)</f>
        <v>United Kingdom</v>
      </c>
      <c r="I899" t="str">
        <f>INDEX(products!$B$1:$B$49,MATCH($D899,products!$A$1:$A$49,0))</f>
        <v>Exc</v>
      </c>
      <c r="J899" t="str">
        <f>INDEX(products!$C$1:$C$49,MATCH($D899,products!$A$1:$A$49,0))</f>
        <v>D</v>
      </c>
      <c r="K899" s="4">
        <f>INDEX(products!$D$1:$D$49,MATCH($D899,products!$A$1:$A$49,0))</f>
        <v>1</v>
      </c>
      <c r="L899" s="5">
        <f>INDEX(products!$E$1:$E$49,MATCH($D899,products!$A$1:$A$49,0))</f>
        <v>12.15</v>
      </c>
      <c r="M899" s="5">
        <f t="shared" ref="M899:M962" si="14">E899*L899</f>
        <v>24.3</v>
      </c>
      <c r="N899" t="str" cm="1">
        <f t="array" ref="N899">_xlfn.IFS(I899="Rob","Robusta",I899="Exc","Excelsa",I899="Ara","Arabica",I899="Lib","Liberica")</f>
        <v>Excelsa</v>
      </c>
      <c r="O899" t="str" cm="1">
        <f t="array" ref="O899">_xlfn.SWITCH($J899,"M","Medium","L","Light","D","Dark")</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IF(_xlfn.XLOOKUP(C900,customers!$A$1:$A$1001,customers!$C$1:$C$1001,,0)=0,"Not _Provided",_xlfn.XLOOKUP(C900,customers!$A$1:$A$1001,customers!$C$1:$C$1001,,0))</f>
        <v>Not _Provided</v>
      </c>
      <c r="H900" s="2" t="str">
        <f>_xlfn.XLOOKUP(C900,customers!$A$1:$A$1001,customers!$G$1:$G$1001,,0)</f>
        <v>United States</v>
      </c>
      <c r="I900" t="str">
        <f>INDEX(products!$B$1:$B$49,MATCH($D900,products!$A$1:$A$49,0))</f>
        <v>Rob</v>
      </c>
      <c r="J900" t="str">
        <f>INDEX(products!$C$1:$C$49,MATCH($D900,products!$A$1:$A$49,0))</f>
        <v>L</v>
      </c>
      <c r="K900" s="4">
        <f>INDEX(products!$D$1:$D$49,MATCH($D900,products!$A$1:$A$49,0))</f>
        <v>0.5</v>
      </c>
      <c r="L900" s="5">
        <f>INDEX(products!$E$1:$E$49,MATCH($D900,products!$A$1:$A$49,0))</f>
        <v>7.169999999999999</v>
      </c>
      <c r="M900" s="5">
        <f t="shared" si="14"/>
        <v>35.849999999999994</v>
      </c>
      <c r="N900" t="str" cm="1">
        <f t="array" ref="N900">_xlfn.IFS(I900="Rob","Robusta",I900="Exc","Excelsa",I900="Ara","Arabica",I900="Lib","Liberica")</f>
        <v>Robusta</v>
      </c>
      <c r="O900" t="str" cm="1">
        <f t="array" ref="O900">_xlfn.SWITCH($J900,"M","Medium","L","Light","D","Dark")</f>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IF(_xlfn.XLOOKUP(C901,customers!$A$1:$A$1001,customers!$C$1:$C$1001,,0)=0,"Not _Provided",_xlfn.XLOOKUP(C901,customers!$A$1:$A$1001,customers!$C$1:$C$1001,,0))</f>
        <v>Not _Provided</v>
      </c>
      <c r="H901" s="2" t="str">
        <f>_xlfn.XLOOKUP(C901,customers!$A$1:$A$1001,customers!$G$1:$G$1001,,0)</f>
        <v>United States</v>
      </c>
      <c r="I901" t="str">
        <f>INDEX(products!$B$1:$B$49,MATCH($D901,products!$A$1:$A$49,0))</f>
        <v>Lib</v>
      </c>
      <c r="J901" t="str">
        <f>INDEX(products!$C$1:$C$49,MATCH($D901,products!$A$1:$A$49,0))</f>
        <v>M</v>
      </c>
      <c r="K901" s="4">
        <f>INDEX(products!$D$1:$D$49,MATCH($D901,products!$A$1:$A$49,0))</f>
        <v>1</v>
      </c>
      <c r="L901" s="5">
        <f>INDEX(products!$E$1:$E$49,MATCH($D901,products!$A$1:$A$49,0))</f>
        <v>14.55</v>
      </c>
      <c r="M901" s="5">
        <f t="shared" si="14"/>
        <v>72.75</v>
      </c>
      <c r="N901" t="str" cm="1">
        <f t="array" ref="N901">_xlfn.IFS(I901="Rob","Robusta",I901="Exc","Excelsa",I901="Ara","Arabica",I901="Lib","Liberica")</f>
        <v>Liberica</v>
      </c>
      <c r="O901" t="str" cm="1">
        <f t="array" ref="O901">_xlfn.SWITCH($J901,"M","Medium","L","Light","D","Dark")</f>
        <v>Medium</v>
      </c>
      <c r="P901" t="str">
        <f>_xlfn.XLOOKUP(Table1[[#This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IF(_xlfn.XLOOKUP(C902,customers!$A$1:$A$1001,customers!$C$1:$C$1001,,0)=0,"Not _Provided",_xlfn.XLOOKUP(C902,customers!$A$1:$A$1001,customers!$C$1:$C$1001,,0))</f>
        <v>Not _Provided</v>
      </c>
      <c r="H902" s="2" t="str">
        <f>_xlfn.XLOOKUP(C902,customers!$A$1:$A$1001,customers!$G$1:$G$1001,,0)</f>
        <v>Ireland</v>
      </c>
      <c r="I902" t="str">
        <f>INDEX(products!$B$1:$B$49,MATCH($D902,products!$A$1:$A$49,0))</f>
        <v>Lib</v>
      </c>
      <c r="J902" t="str">
        <f>INDEX(products!$C$1:$C$49,MATCH($D902,products!$A$1:$A$49,0))</f>
        <v>L</v>
      </c>
      <c r="K902" s="4">
        <f>INDEX(products!$D$1:$D$49,MATCH($D902,products!$A$1:$A$49,0))</f>
        <v>1</v>
      </c>
      <c r="L902" s="5">
        <f>INDEX(products!$E$1:$E$49,MATCH($D902,products!$A$1:$A$49,0))</f>
        <v>15.85</v>
      </c>
      <c r="M902" s="5">
        <f t="shared" si="14"/>
        <v>47.55</v>
      </c>
      <c r="N902" t="str" cm="1">
        <f t="array" ref="N902">_xlfn.IFS(I902="Rob","Robusta",I902="Exc","Excelsa",I902="Ara","Arabica",I902="Lib","Liberica")</f>
        <v>Liberica</v>
      </c>
      <c r="O902" t="str" cm="1">
        <f t="array" ref="O902">_xlfn.SWITCH($J902,"M","Medium","L","Light","D","Dark")</f>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IF(_xlfn.XLOOKUP(C903,customers!$A$1:$A$1001,customers!$C$1:$C$1001,,0)=0,"Not _Provided",_xlfn.XLOOKUP(C903,customers!$A$1:$A$1001,customers!$C$1:$C$1001,,0))</f>
        <v>djevonp1@ibm.com</v>
      </c>
      <c r="H903" s="2" t="str">
        <f>_xlfn.XLOOKUP(C903,customers!$A$1:$A$1001,customers!$G$1:$G$1001,,0)</f>
        <v>United States</v>
      </c>
      <c r="I903" t="str">
        <f>INDEX(products!$B$1:$B$49,MATCH($D903,products!$A$1:$A$49,0))</f>
        <v>Rob</v>
      </c>
      <c r="J903" t="str">
        <f>INDEX(products!$C$1:$C$49,MATCH($D903,products!$A$1:$A$49,0))</f>
        <v>L</v>
      </c>
      <c r="K903" s="4">
        <f>INDEX(products!$D$1:$D$49,MATCH($D903,products!$A$1:$A$49,0))</f>
        <v>0.2</v>
      </c>
      <c r="L903" s="5">
        <f>INDEX(products!$E$1:$E$49,MATCH($D903,products!$A$1:$A$49,0))</f>
        <v>3.5849999999999995</v>
      </c>
      <c r="M903" s="5">
        <f t="shared" si="14"/>
        <v>3.5849999999999995</v>
      </c>
      <c r="N903" t="str" cm="1">
        <f t="array" ref="N903">_xlfn.IFS(I903="Rob","Robusta",I903="Exc","Excelsa",I903="Ara","Arabica",I903="Lib","Liberica")</f>
        <v>Robusta</v>
      </c>
      <c r="O903" t="str" cm="1">
        <f t="array" ref="O903">_xlfn.SWITCH($J903,"M","Medium","L","Light","D","Dark")</f>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IF(_xlfn.XLOOKUP(C904,customers!$A$1:$A$1001,customers!$C$1:$C$1001,,0)=0,"Not _Provided",_xlfn.XLOOKUP(C904,customers!$A$1:$A$1001,customers!$C$1:$C$1001,,0))</f>
        <v>hrannerp2@omniture.com</v>
      </c>
      <c r="H904" s="2" t="str">
        <f>_xlfn.XLOOKUP(C904,customers!$A$1:$A$1001,customers!$G$1:$G$1001,,0)</f>
        <v>United States</v>
      </c>
      <c r="I904" t="str">
        <f>INDEX(products!$B$1:$B$49,MATCH($D904,products!$A$1:$A$49,0))</f>
        <v>Exc</v>
      </c>
      <c r="J904" t="str">
        <f>INDEX(products!$C$1:$C$49,MATCH($D904,products!$A$1:$A$49,0))</f>
        <v>M</v>
      </c>
      <c r="K904" s="4">
        <f>INDEX(products!$D$1:$D$49,MATCH($D904,products!$A$1:$A$49,0))</f>
        <v>2.5</v>
      </c>
      <c r="L904" s="5">
        <f>INDEX(products!$E$1:$E$49,MATCH($D904,products!$A$1:$A$49,0))</f>
        <v>31.624999999999996</v>
      </c>
      <c r="M904" s="5">
        <f t="shared" si="14"/>
        <v>158.12499999999997</v>
      </c>
      <c r="N904" t="str" cm="1">
        <f t="array" ref="N904">_xlfn.IFS(I904="Rob","Robusta",I904="Exc","Excelsa",I904="Ara","Arabica",I904="Lib","Liberica")</f>
        <v>Excelsa</v>
      </c>
      <c r="O904" t="str" cm="1">
        <f t="array" ref="O904">_xlfn.SWITCH($J904,"M","Medium","L","Light","D","Dark")</f>
        <v>Medium</v>
      </c>
      <c r="P904" t="str">
        <f>_xlfn.XLOOKUP(Table1[[#This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IF(_xlfn.XLOOKUP(C905,customers!$A$1:$A$1001,customers!$C$1:$C$1001,,0)=0,"Not _Provided",_xlfn.XLOOKUP(C905,customers!$A$1:$A$1001,customers!$C$1:$C$1001,,0))</f>
        <v>bimriep3@addtoany.com</v>
      </c>
      <c r="H905" s="2" t="str">
        <f>_xlfn.XLOOKUP(C905,customers!$A$1:$A$1001,customers!$G$1:$G$1001,,0)</f>
        <v>United States</v>
      </c>
      <c r="I905" t="str">
        <f>INDEX(products!$B$1:$B$49,MATCH($D905,products!$A$1:$A$49,0))</f>
        <v>Lib</v>
      </c>
      <c r="J905" t="str">
        <f>INDEX(products!$C$1:$C$49,MATCH($D905,products!$A$1:$A$49,0))</f>
        <v>M</v>
      </c>
      <c r="K905" s="4">
        <f>INDEX(products!$D$1:$D$49,MATCH($D905,products!$A$1:$A$49,0))</f>
        <v>0.5</v>
      </c>
      <c r="L905" s="5">
        <f>INDEX(products!$E$1:$E$49,MATCH($D905,products!$A$1:$A$49,0))</f>
        <v>8.73</v>
      </c>
      <c r="M905" s="5">
        <f t="shared" si="14"/>
        <v>17.46</v>
      </c>
      <c r="N905" t="str" cm="1">
        <f t="array" ref="N905">_xlfn.IFS(I905="Rob","Robusta",I905="Exc","Excelsa",I905="Ara","Arabica",I905="Lib","Liberica")</f>
        <v>Liberica</v>
      </c>
      <c r="O905" t="str" cm="1">
        <f t="array" ref="O905">_xlfn.SWITCH($J905,"M","Medium","L","Light","D","Dark")</f>
        <v>Medium</v>
      </c>
      <c r="P905" t="str">
        <f>_xlfn.XLOOKUP(Table1[[#This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IF(_xlfn.XLOOKUP(C906,customers!$A$1:$A$1001,customers!$C$1:$C$1001,,0)=0,"Not _Provided",_xlfn.XLOOKUP(C906,customers!$A$1:$A$1001,customers!$C$1:$C$1001,,0))</f>
        <v>dsopperp4@eventbrite.com</v>
      </c>
      <c r="H906" s="2" t="str">
        <f>_xlfn.XLOOKUP(C906,customers!$A$1:$A$1001,customers!$G$1:$G$1001,,0)</f>
        <v>United States</v>
      </c>
      <c r="I906" t="str">
        <f>INDEX(products!$B$1:$B$49,MATCH($D906,products!$A$1:$A$49,0))</f>
        <v>Ara</v>
      </c>
      <c r="J906" t="str">
        <f>INDEX(products!$C$1:$C$49,MATCH($D906,products!$A$1:$A$49,0))</f>
        <v>L</v>
      </c>
      <c r="K906" s="4">
        <f>INDEX(products!$D$1:$D$49,MATCH($D906,products!$A$1:$A$49,0))</f>
        <v>2.5</v>
      </c>
      <c r="L906" s="5">
        <f>INDEX(products!$E$1:$E$49,MATCH($D906,products!$A$1:$A$49,0))</f>
        <v>29.784999999999997</v>
      </c>
      <c r="M906" s="5">
        <f t="shared" si="14"/>
        <v>148.92499999999998</v>
      </c>
      <c r="N906" t="str" cm="1">
        <f t="array" ref="N906">_xlfn.IFS(I906="Rob","Robusta",I906="Exc","Excelsa",I906="Ara","Arabica",I906="Lib","Liberica")</f>
        <v>Arabica</v>
      </c>
      <c r="O906" t="str" cm="1">
        <f t="array" ref="O906">_xlfn.SWITCH($J906,"M","Medium","L","Light","D","Dark")</f>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IF(_xlfn.XLOOKUP(C907,customers!$A$1:$A$1001,customers!$C$1:$C$1001,,0)=0,"Not _Provided",_xlfn.XLOOKUP(C907,customers!$A$1:$A$1001,customers!$C$1:$C$1001,,0))</f>
        <v>Not _Provided</v>
      </c>
      <c r="H907" s="2" t="str">
        <f>_xlfn.XLOOKUP(C907,customers!$A$1:$A$1001,customers!$G$1:$G$1001,,0)</f>
        <v>United States</v>
      </c>
      <c r="I907" t="str">
        <f>INDEX(products!$B$1:$B$49,MATCH($D907,products!$A$1:$A$49,0))</f>
        <v>Ara</v>
      </c>
      <c r="J907" t="str">
        <f>INDEX(products!$C$1:$C$49,MATCH($D907,products!$A$1:$A$49,0))</f>
        <v>M</v>
      </c>
      <c r="K907" s="4">
        <f>INDEX(products!$D$1:$D$49,MATCH($D907,products!$A$1:$A$49,0))</f>
        <v>0.5</v>
      </c>
      <c r="L907" s="5">
        <f>INDEX(products!$E$1:$E$49,MATCH($D907,products!$A$1:$A$49,0))</f>
        <v>6.75</v>
      </c>
      <c r="M907" s="5">
        <f t="shared" si="14"/>
        <v>40.5</v>
      </c>
      <c r="N907" t="str" cm="1">
        <f t="array" ref="N907">_xlfn.IFS(I907="Rob","Robusta",I907="Exc","Excelsa",I907="Ara","Arabica",I907="Lib","Liberica")</f>
        <v>Arabica</v>
      </c>
      <c r="O907" t="str" cm="1">
        <f t="array" ref="O907">_xlfn.SWITCH($J907,"M","Medium","L","Light","D","Dark")</f>
        <v>Medium</v>
      </c>
      <c r="P907" t="str">
        <f>_xlfn.XLOOKUP(Table1[[#This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IF(_xlfn.XLOOKUP(C908,customers!$A$1:$A$1001,customers!$C$1:$C$1001,,0)=0,"Not _Provided",_xlfn.XLOOKUP(C908,customers!$A$1:$A$1001,customers!$C$1:$C$1001,,0))</f>
        <v>lledgleyp6@de.vu</v>
      </c>
      <c r="H908" s="2" t="str">
        <f>_xlfn.XLOOKUP(C908,customers!$A$1:$A$1001,customers!$G$1:$G$1001,,0)</f>
        <v>United States</v>
      </c>
      <c r="I908" t="str">
        <f>INDEX(products!$B$1:$B$49,MATCH($D908,products!$A$1:$A$49,0))</f>
        <v>Ara</v>
      </c>
      <c r="J908" t="str">
        <f>INDEX(products!$C$1:$C$49,MATCH($D908,products!$A$1:$A$49,0))</f>
        <v>M</v>
      </c>
      <c r="K908" s="4">
        <f>INDEX(products!$D$1:$D$49,MATCH($D908,products!$A$1:$A$49,0))</f>
        <v>0.5</v>
      </c>
      <c r="L908" s="5">
        <f>INDEX(products!$E$1:$E$49,MATCH($D908,products!$A$1:$A$49,0))</f>
        <v>6.75</v>
      </c>
      <c r="M908" s="5">
        <f t="shared" si="14"/>
        <v>27</v>
      </c>
      <c r="N908" t="str" cm="1">
        <f t="array" ref="N908">_xlfn.IFS(I908="Rob","Robusta",I908="Exc","Excelsa",I908="Ara","Arabica",I908="Lib","Liberica")</f>
        <v>Arabica</v>
      </c>
      <c r="O908" t="str" cm="1">
        <f t="array" ref="O908">_xlfn.SWITCH($J908,"M","Medium","L","Light","D","Dark")</f>
        <v>Medium</v>
      </c>
      <c r="P908" t="str">
        <f>_xlfn.XLOOKUP(Table1[[#This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IF(_xlfn.XLOOKUP(C909,customers!$A$1:$A$1001,customers!$C$1:$C$1001,,0)=0,"Not _Provided",_xlfn.XLOOKUP(C909,customers!$A$1:$A$1001,customers!$C$1:$C$1001,,0))</f>
        <v>tmenaryp7@phoca.cz</v>
      </c>
      <c r="H909" s="2" t="str">
        <f>_xlfn.XLOOKUP(C909,customers!$A$1:$A$1001,customers!$G$1:$G$1001,,0)</f>
        <v>United States</v>
      </c>
      <c r="I909" t="str">
        <f>INDEX(products!$B$1:$B$49,MATCH($D909,products!$A$1:$A$49,0))</f>
        <v>Lib</v>
      </c>
      <c r="J909" t="str">
        <f>INDEX(products!$C$1:$C$49,MATCH($D909,products!$A$1:$A$49,0))</f>
        <v>D</v>
      </c>
      <c r="K909" s="4">
        <f>INDEX(products!$D$1:$D$49,MATCH($D909,products!$A$1:$A$49,0))</f>
        <v>1</v>
      </c>
      <c r="L909" s="5">
        <f>INDEX(products!$E$1:$E$49,MATCH($D909,products!$A$1:$A$49,0))</f>
        <v>12.95</v>
      </c>
      <c r="M909" s="5">
        <f t="shared" si="14"/>
        <v>38.849999999999994</v>
      </c>
      <c r="N909" t="str" cm="1">
        <f t="array" ref="N909">_xlfn.IFS(I909="Rob","Robusta",I909="Exc","Excelsa",I909="Ara","Arabica",I909="Lib","Liberica")</f>
        <v>Liberica</v>
      </c>
      <c r="O909" t="str" cm="1">
        <f t="array" ref="O909">_xlfn.SWITCH($J909,"M","Medium","L","Light","D","Dark")</f>
        <v>Dark</v>
      </c>
      <c r="P909" t="str">
        <f>_xlfn.XLOOKUP(Table1[[#This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IF(_xlfn.XLOOKUP(C910,customers!$A$1:$A$1001,customers!$C$1:$C$1001,,0)=0,"Not _Provided",_xlfn.XLOOKUP(C910,customers!$A$1:$A$1001,customers!$C$1:$C$1001,,0))</f>
        <v>gciccottip8@so-net.ne.jp</v>
      </c>
      <c r="H910" s="2" t="str">
        <f>_xlfn.XLOOKUP(C910,customers!$A$1:$A$1001,customers!$G$1:$G$1001,,0)</f>
        <v>United States</v>
      </c>
      <c r="I910" t="str">
        <f>INDEX(products!$B$1:$B$49,MATCH($D910,products!$A$1:$A$49,0))</f>
        <v>Rob</v>
      </c>
      <c r="J910" t="str">
        <f>INDEX(products!$C$1:$C$49,MATCH($D910,products!$A$1:$A$49,0))</f>
        <v>L</v>
      </c>
      <c r="K910" s="4">
        <f>INDEX(products!$D$1:$D$49,MATCH($D910,products!$A$1:$A$49,0))</f>
        <v>1</v>
      </c>
      <c r="L910" s="5">
        <f>INDEX(products!$E$1:$E$49,MATCH($D910,products!$A$1:$A$49,0))</f>
        <v>11.95</v>
      </c>
      <c r="M910" s="5">
        <f t="shared" si="14"/>
        <v>59.75</v>
      </c>
      <c r="N910" t="str" cm="1">
        <f t="array" ref="N910">_xlfn.IFS(I910="Rob","Robusta",I910="Exc","Excelsa",I910="Ara","Arabica",I910="Lib","Liberica")</f>
        <v>Robusta</v>
      </c>
      <c r="O910" t="str" cm="1">
        <f t="array" ref="O910">_xlfn.SWITCH($J910,"M","Medium","L","Light","D","Dark")</f>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IF(_xlfn.XLOOKUP(C911,customers!$A$1:$A$1001,customers!$C$1:$C$1001,,0)=0,"Not _Provided",_xlfn.XLOOKUP(C911,customers!$A$1:$A$1001,customers!$C$1:$C$1001,,0))</f>
        <v>Not _Provided</v>
      </c>
      <c r="H911" s="2" t="str">
        <f>_xlfn.XLOOKUP(C911,customers!$A$1:$A$1001,customers!$G$1:$G$1001,,0)</f>
        <v>United States</v>
      </c>
      <c r="I911" t="str">
        <f>INDEX(products!$B$1:$B$49,MATCH($D911,products!$A$1:$A$49,0))</f>
        <v>Rob</v>
      </c>
      <c r="J911" t="str">
        <f>INDEX(products!$C$1:$C$49,MATCH($D911,products!$A$1:$A$49,0))</f>
        <v>L</v>
      </c>
      <c r="K911" s="4">
        <f>INDEX(products!$D$1:$D$49,MATCH($D911,products!$A$1:$A$49,0))</f>
        <v>0.2</v>
      </c>
      <c r="L911" s="5">
        <f>INDEX(products!$E$1:$E$49,MATCH($D911,products!$A$1:$A$49,0))</f>
        <v>3.5849999999999995</v>
      </c>
      <c r="M911" s="5">
        <f t="shared" si="14"/>
        <v>10.754999999999999</v>
      </c>
      <c r="N911" t="str" cm="1">
        <f t="array" ref="N911">_xlfn.IFS(I911="Rob","Robusta",I911="Exc","Excelsa",I911="Ara","Arabica",I911="Lib","Liberica")</f>
        <v>Robusta</v>
      </c>
      <c r="O911" t="str" cm="1">
        <f t="array" ref="O911">_xlfn.SWITCH($J911,"M","Medium","L","Light","D","Dark")</f>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IF(_xlfn.XLOOKUP(C912,customers!$A$1:$A$1001,customers!$C$1:$C$1001,,0)=0,"Not _Provided",_xlfn.XLOOKUP(C912,customers!$A$1:$A$1001,customers!$C$1:$C$1001,,0))</f>
        <v>wjallinpa@pcworld.com</v>
      </c>
      <c r="H912" s="2" t="str">
        <f>_xlfn.XLOOKUP(C912,customers!$A$1:$A$1001,customers!$G$1:$G$1001,,0)</f>
        <v>United States</v>
      </c>
      <c r="I912" t="str">
        <f>INDEX(products!$B$1:$B$49,MATCH($D912,products!$A$1:$A$49,0))</f>
        <v>Ara</v>
      </c>
      <c r="J912" t="str">
        <f>INDEX(products!$C$1:$C$49,MATCH($D912,products!$A$1:$A$49,0))</f>
        <v>D</v>
      </c>
      <c r="K912" s="4">
        <f>INDEX(products!$D$1:$D$49,MATCH($D912,products!$A$1:$A$49,0))</f>
        <v>2.5</v>
      </c>
      <c r="L912" s="5">
        <f>INDEX(products!$E$1:$E$49,MATCH($D912,products!$A$1:$A$49,0))</f>
        <v>22.884999999999998</v>
      </c>
      <c r="M912" s="5">
        <f t="shared" si="14"/>
        <v>91.539999999999992</v>
      </c>
      <c r="N912" t="str" cm="1">
        <f t="array" ref="N912">_xlfn.IFS(I912="Rob","Robusta",I912="Exc","Excelsa",I912="Ara","Arabica",I912="Lib","Liberica")</f>
        <v>Arabica</v>
      </c>
      <c r="O912" t="str" cm="1">
        <f t="array" ref="O912">_xlfn.SWITCH($J912,"M","Medium","L","Light","D","Dark")</f>
        <v>Dark</v>
      </c>
      <c r="P912" t="str">
        <f>_xlfn.XLOOKUP(Table1[[#This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IF(_xlfn.XLOOKUP(C913,customers!$A$1:$A$1001,customers!$C$1:$C$1001,,0)=0,"Not _Provided",_xlfn.XLOOKUP(C913,customers!$A$1:$A$1001,customers!$C$1:$C$1001,,0))</f>
        <v>mbogeypb@thetimes.co.uk</v>
      </c>
      <c r="H913" s="2" t="str">
        <f>_xlfn.XLOOKUP(C913,customers!$A$1:$A$1001,customers!$G$1:$G$1001,,0)</f>
        <v>United States</v>
      </c>
      <c r="I913" t="str">
        <f>INDEX(products!$B$1:$B$49,MATCH($D913,products!$A$1:$A$49,0))</f>
        <v>Ara</v>
      </c>
      <c r="J913" t="str">
        <f>INDEX(products!$C$1:$C$49,MATCH($D913,products!$A$1:$A$49,0))</f>
        <v>M</v>
      </c>
      <c r="K913" s="4">
        <f>INDEX(products!$D$1:$D$49,MATCH($D913,products!$A$1:$A$49,0))</f>
        <v>1</v>
      </c>
      <c r="L913" s="5">
        <f>INDEX(products!$E$1:$E$49,MATCH($D913,products!$A$1:$A$49,0))</f>
        <v>11.25</v>
      </c>
      <c r="M913" s="5">
        <f t="shared" si="14"/>
        <v>45</v>
      </c>
      <c r="N913" t="str" cm="1">
        <f t="array" ref="N913">_xlfn.IFS(I913="Rob","Robusta",I913="Exc","Excelsa",I913="Ara","Arabica",I913="Lib","Liberica")</f>
        <v>Arabica</v>
      </c>
      <c r="O913" t="str" cm="1">
        <f t="array" ref="O913">_xlfn.SWITCH($J913,"M","Medium","L","Light","D","Dark")</f>
        <v>Medium</v>
      </c>
      <c r="P913" t="str">
        <f>_xlfn.XLOOKUP(Table1[[#This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IF(_xlfn.XLOOKUP(C914,customers!$A$1:$A$1001,customers!$C$1:$C$1001,,0)=0,"Not _Provided",_xlfn.XLOOKUP(C914,customers!$A$1:$A$1001,customers!$C$1:$C$1001,,0))</f>
        <v>Not _Provided</v>
      </c>
      <c r="H914" s="2" t="str">
        <f>_xlfn.XLOOKUP(C914,customers!$A$1:$A$1001,customers!$G$1:$G$1001,,0)</f>
        <v>United States</v>
      </c>
      <c r="I914" t="str">
        <f>INDEX(products!$B$1:$B$49,MATCH($D914,products!$A$1:$A$49,0))</f>
        <v>Rob</v>
      </c>
      <c r="J914" t="str">
        <f>INDEX(products!$C$1:$C$49,MATCH($D914,products!$A$1:$A$49,0))</f>
        <v>M</v>
      </c>
      <c r="K914" s="4">
        <f>INDEX(products!$D$1:$D$49,MATCH($D914,products!$A$1:$A$49,0))</f>
        <v>2.5</v>
      </c>
      <c r="L914" s="5">
        <f>INDEX(products!$E$1:$E$49,MATCH($D914,products!$A$1:$A$49,0))</f>
        <v>22.884999999999998</v>
      </c>
      <c r="M914" s="5">
        <f t="shared" si="14"/>
        <v>137.31</v>
      </c>
      <c r="N914" t="str" cm="1">
        <f t="array" ref="N914">_xlfn.IFS(I914="Rob","Robusta",I914="Exc","Excelsa",I914="Ara","Arabica",I914="Lib","Liberica")</f>
        <v>Robusta</v>
      </c>
      <c r="O914" t="str" cm="1">
        <f t="array" ref="O914">_xlfn.SWITCH($J914,"M","Medium","L","Light","D","Dark")</f>
        <v>Medium</v>
      </c>
      <c r="P914" t="str">
        <f>_xlfn.XLOOKUP(Table1[[#This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IF(_xlfn.XLOOKUP(C915,customers!$A$1:$A$1001,customers!$C$1:$C$1001,,0)=0,"Not _Provided",_xlfn.XLOOKUP(C915,customers!$A$1:$A$1001,customers!$C$1:$C$1001,,0))</f>
        <v>mcobbledickpd@ucsd.edu</v>
      </c>
      <c r="H915" s="2" t="str">
        <f>_xlfn.XLOOKUP(C915,customers!$A$1:$A$1001,customers!$G$1:$G$1001,,0)</f>
        <v>United States</v>
      </c>
      <c r="I915" t="str">
        <f>INDEX(products!$B$1:$B$49,MATCH($D915,products!$A$1:$A$49,0))</f>
        <v>Ara</v>
      </c>
      <c r="J915" t="str">
        <f>INDEX(products!$C$1:$C$49,MATCH($D915,products!$A$1:$A$49,0))</f>
        <v>M</v>
      </c>
      <c r="K915" s="4">
        <f>INDEX(products!$D$1:$D$49,MATCH($D915,products!$A$1:$A$49,0))</f>
        <v>0.5</v>
      </c>
      <c r="L915" s="5">
        <f>INDEX(products!$E$1:$E$49,MATCH($D915,products!$A$1:$A$49,0))</f>
        <v>6.75</v>
      </c>
      <c r="M915" s="5">
        <f t="shared" si="14"/>
        <v>6.75</v>
      </c>
      <c r="N915" t="str" cm="1">
        <f t="array" ref="N915">_xlfn.IFS(I915="Rob","Robusta",I915="Exc","Excelsa",I915="Ara","Arabica",I915="Lib","Liberica")</f>
        <v>Arabica</v>
      </c>
      <c r="O915" t="str" cm="1">
        <f t="array" ref="O915">_xlfn.SWITCH($J915,"M","Medium","L","Light","D","Dark")</f>
        <v>Medium</v>
      </c>
      <c r="P915" t="str">
        <f>_xlfn.XLOOKUP(Table1[[#This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IF(_xlfn.XLOOKUP(C916,customers!$A$1:$A$1001,customers!$C$1:$C$1001,,0)=0,"Not _Provided",_xlfn.XLOOKUP(C916,customers!$A$1:$A$1001,customers!$C$1:$C$1001,,0))</f>
        <v>alewrype@whitehouse.gov</v>
      </c>
      <c r="H916" s="2" t="str">
        <f>_xlfn.XLOOKUP(C916,customers!$A$1:$A$1001,customers!$G$1:$G$1001,,0)</f>
        <v>United States</v>
      </c>
      <c r="I916" t="str">
        <f>INDEX(products!$B$1:$B$49,MATCH($D916,products!$A$1:$A$49,0))</f>
        <v>Ara</v>
      </c>
      <c r="J916" t="str">
        <f>INDEX(products!$C$1:$C$49,MATCH($D916,products!$A$1:$A$49,0))</f>
        <v>M</v>
      </c>
      <c r="K916" s="4">
        <f>INDEX(products!$D$1:$D$49,MATCH($D916,products!$A$1:$A$49,0))</f>
        <v>1</v>
      </c>
      <c r="L916" s="5">
        <f>INDEX(products!$E$1:$E$49,MATCH($D916,products!$A$1:$A$49,0))</f>
        <v>11.25</v>
      </c>
      <c r="M916" s="5">
        <f t="shared" si="14"/>
        <v>45</v>
      </c>
      <c r="N916" t="str" cm="1">
        <f t="array" ref="N916">_xlfn.IFS(I916="Rob","Robusta",I916="Exc","Excelsa",I916="Ara","Arabica",I916="Lib","Liberica")</f>
        <v>Arabica</v>
      </c>
      <c r="O916" t="str" cm="1">
        <f t="array" ref="O916">_xlfn.SWITCH($J916,"M","Medium","L","Light","D","Dark")</f>
        <v>Medium</v>
      </c>
      <c r="P916" t="str">
        <f>_xlfn.XLOOKUP(Table1[[#This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IF(_xlfn.XLOOKUP(C917,customers!$A$1:$A$1001,customers!$C$1:$C$1001,,0)=0,"Not _Provided",_xlfn.XLOOKUP(C917,customers!$A$1:$A$1001,customers!$C$1:$C$1001,,0))</f>
        <v>ihesselpf@ox.ac.uk</v>
      </c>
      <c r="H917" s="2" t="str">
        <f>_xlfn.XLOOKUP(C917,customers!$A$1:$A$1001,customers!$G$1:$G$1001,,0)</f>
        <v>United States</v>
      </c>
      <c r="I917" t="str">
        <f>INDEX(products!$B$1:$B$49,MATCH($D917,products!$A$1:$A$49,0))</f>
        <v>Exc</v>
      </c>
      <c r="J917" t="str">
        <f>INDEX(products!$C$1:$C$49,MATCH($D917,products!$A$1:$A$49,0))</f>
        <v>D</v>
      </c>
      <c r="K917" s="4">
        <f>INDEX(products!$D$1:$D$49,MATCH($D917,products!$A$1:$A$49,0))</f>
        <v>2.5</v>
      </c>
      <c r="L917" s="5">
        <f>INDEX(products!$E$1:$E$49,MATCH($D917,products!$A$1:$A$49,0))</f>
        <v>27.945</v>
      </c>
      <c r="M917" s="5">
        <f t="shared" si="14"/>
        <v>83.835000000000008</v>
      </c>
      <c r="N917" t="str" cm="1">
        <f t="array" ref="N917">_xlfn.IFS(I917="Rob","Robusta",I917="Exc","Excelsa",I917="Ara","Arabica",I917="Lib","Liberica")</f>
        <v>Excelsa</v>
      </c>
      <c r="O917" t="str" cm="1">
        <f t="array" ref="O917">_xlfn.SWITCH($J917,"M","Medium","L","Light","D","Dark")</f>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IF(_xlfn.XLOOKUP(C918,customers!$A$1:$A$1001,customers!$C$1:$C$1001,,0)=0,"Not _Provided",_xlfn.XLOOKUP(C918,customers!$A$1:$A$1001,customers!$C$1:$C$1001,,0))</f>
        <v>Not _Provided</v>
      </c>
      <c r="H918" s="2" t="str">
        <f>_xlfn.XLOOKUP(C918,customers!$A$1:$A$1001,customers!$G$1:$G$1001,,0)</f>
        <v>Ireland</v>
      </c>
      <c r="I918" t="str">
        <f>INDEX(products!$B$1:$B$49,MATCH($D918,products!$A$1:$A$49,0))</f>
        <v>Exc</v>
      </c>
      <c r="J918" t="str">
        <f>INDEX(products!$C$1:$C$49,MATCH($D918,products!$A$1:$A$49,0))</f>
        <v>D</v>
      </c>
      <c r="K918" s="4">
        <f>INDEX(products!$D$1:$D$49,MATCH($D918,products!$A$1:$A$49,0))</f>
        <v>0.2</v>
      </c>
      <c r="L918" s="5">
        <f>INDEX(products!$E$1:$E$49,MATCH($D918,products!$A$1:$A$49,0))</f>
        <v>3.645</v>
      </c>
      <c r="M918" s="5">
        <f t="shared" si="14"/>
        <v>3.645</v>
      </c>
      <c r="N918" t="str" cm="1">
        <f t="array" ref="N918">_xlfn.IFS(I918="Rob","Robusta",I918="Exc","Excelsa",I918="Ara","Arabica",I918="Lib","Liberica")</f>
        <v>Excelsa</v>
      </c>
      <c r="O918" t="str" cm="1">
        <f t="array" ref="O918">_xlfn.SWITCH($J918,"M","Medium","L","Light","D","Dark")</f>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IF(_xlfn.XLOOKUP(C919,customers!$A$1:$A$1001,customers!$C$1:$C$1001,,0)=0,"Not _Provided",_xlfn.XLOOKUP(C919,customers!$A$1:$A$1001,customers!$C$1:$C$1001,,0))</f>
        <v>csorrellph@amazon.com</v>
      </c>
      <c r="H919" s="2" t="str">
        <f>_xlfn.XLOOKUP(C919,customers!$A$1:$A$1001,customers!$G$1:$G$1001,,0)</f>
        <v>United Kingdom</v>
      </c>
      <c r="I919" t="str">
        <f>INDEX(products!$B$1:$B$49,MATCH($D919,products!$A$1:$A$49,0))</f>
        <v>Ara</v>
      </c>
      <c r="J919" t="str">
        <f>INDEX(products!$C$1:$C$49,MATCH($D919,products!$A$1:$A$49,0))</f>
        <v>M</v>
      </c>
      <c r="K919" s="4">
        <f>INDEX(products!$D$1:$D$49,MATCH($D919,products!$A$1:$A$49,0))</f>
        <v>0.5</v>
      </c>
      <c r="L919" s="5">
        <f>INDEX(products!$E$1:$E$49,MATCH($D919,products!$A$1:$A$49,0))</f>
        <v>6.75</v>
      </c>
      <c r="M919" s="5">
        <f t="shared" si="14"/>
        <v>6.75</v>
      </c>
      <c r="N919" t="str" cm="1">
        <f t="array" ref="N919">_xlfn.IFS(I919="Rob","Robusta",I919="Exc","Excelsa",I919="Ara","Arabica",I919="Lib","Liberica")</f>
        <v>Arabica</v>
      </c>
      <c r="O919" t="str" cm="1">
        <f t="array" ref="O919">_xlfn.SWITCH($J919,"M","Medium","L","Light","D","Dark")</f>
        <v>Medium</v>
      </c>
      <c r="P919" t="str">
        <f>_xlfn.XLOOKUP(Table1[[#This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IF(_xlfn.XLOOKUP(C920,customers!$A$1:$A$1001,customers!$C$1:$C$1001,,0)=0,"Not _Provided",_xlfn.XLOOKUP(C920,customers!$A$1:$A$1001,customers!$C$1:$C$1001,,0))</f>
        <v>csorrellph@amazon.com</v>
      </c>
      <c r="H920" s="2" t="str">
        <f>_xlfn.XLOOKUP(C920,customers!$A$1:$A$1001,customers!$G$1:$G$1001,,0)</f>
        <v>United Kingdom</v>
      </c>
      <c r="I920" t="str">
        <f>INDEX(products!$B$1:$B$49,MATCH($D920,products!$A$1:$A$49,0))</f>
        <v>Exc</v>
      </c>
      <c r="J920" t="str">
        <f>INDEX(products!$C$1:$C$49,MATCH($D920,products!$A$1:$A$49,0))</f>
        <v>D</v>
      </c>
      <c r="K920" s="4">
        <f>INDEX(products!$D$1:$D$49,MATCH($D920,products!$A$1:$A$49,0))</f>
        <v>0.5</v>
      </c>
      <c r="L920" s="5">
        <f>INDEX(products!$E$1:$E$49,MATCH($D920,products!$A$1:$A$49,0))</f>
        <v>7.29</v>
      </c>
      <c r="M920" s="5">
        <f t="shared" si="14"/>
        <v>21.87</v>
      </c>
      <c r="N920" t="str" cm="1">
        <f t="array" ref="N920">_xlfn.IFS(I920="Rob","Robusta",I920="Exc","Excelsa",I920="Ara","Arabica",I920="Lib","Liberica")</f>
        <v>Excelsa</v>
      </c>
      <c r="O920" t="str" cm="1">
        <f t="array" ref="O920">_xlfn.SWITCH($J920,"M","Medium","L","Light","D","Dark")</f>
        <v>Dark</v>
      </c>
      <c r="P920" t="str">
        <f>_xlfn.XLOOKUP(Table1[[#This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IF(_xlfn.XLOOKUP(C921,customers!$A$1:$A$1001,customers!$C$1:$C$1001,,0)=0,"Not _Provided",_xlfn.XLOOKUP(C921,customers!$A$1:$A$1001,customers!$C$1:$C$1001,,0))</f>
        <v>qheavysidepj@unc.edu</v>
      </c>
      <c r="H921" s="2" t="str">
        <f>_xlfn.XLOOKUP(C921,customers!$A$1:$A$1001,customers!$G$1:$G$1001,,0)</f>
        <v>United States</v>
      </c>
      <c r="I921" t="str">
        <f>INDEX(products!$B$1:$B$49,MATCH($D921,products!$A$1:$A$49,0))</f>
        <v>Rob</v>
      </c>
      <c r="J921" t="str">
        <f>INDEX(products!$C$1:$C$49,MATCH($D921,products!$A$1:$A$49,0))</f>
        <v>D</v>
      </c>
      <c r="K921" s="4">
        <f>INDEX(products!$D$1:$D$49,MATCH($D921,products!$A$1:$A$49,0))</f>
        <v>0.2</v>
      </c>
      <c r="L921" s="5">
        <f>INDEX(products!$E$1:$E$49,MATCH($D921,products!$A$1:$A$49,0))</f>
        <v>2.6849999999999996</v>
      </c>
      <c r="M921" s="5">
        <f t="shared" si="14"/>
        <v>13.424999999999997</v>
      </c>
      <c r="N921" t="str" cm="1">
        <f t="array" ref="N921">_xlfn.IFS(I921="Rob","Robusta",I921="Exc","Excelsa",I921="Ara","Arabica",I921="Lib","Liberica")</f>
        <v>Robusta</v>
      </c>
      <c r="O921" t="str" cm="1">
        <f t="array" ref="O921">_xlfn.SWITCH($J921,"M","Medium","L","Light","D","Dark")</f>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IF(_xlfn.XLOOKUP(C922,customers!$A$1:$A$1001,customers!$C$1:$C$1001,,0)=0,"Not _Provided",_xlfn.XLOOKUP(C922,customers!$A$1:$A$1001,customers!$C$1:$C$1001,,0))</f>
        <v>hreuvenpk@whitehouse.gov</v>
      </c>
      <c r="H922" s="2" t="str">
        <f>_xlfn.XLOOKUP(C922,customers!$A$1:$A$1001,customers!$G$1:$G$1001,,0)</f>
        <v>United States</v>
      </c>
      <c r="I922" t="str">
        <f>INDEX(products!$B$1:$B$49,MATCH($D922,products!$A$1:$A$49,0))</f>
        <v>Rob</v>
      </c>
      <c r="J922" t="str">
        <f>INDEX(products!$C$1:$C$49,MATCH($D922,products!$A$1:$A$49,0))</f>
        <v>D</v>
      </c>
      <c r="K922" s="4">
        <f>INDEX(products!$D$1:$D$49,MATCH($D922,products!$A$1:$A$49,0))</f>
        <v>2.5</v>
      </c>
      <c r="L922" s="5">
        <f>INDEX(products!$E$1:$E$49,MATCH($D922,products!$A$1:$A$49,0))</f>
        <v>20.584999999999997</v>
      </c>
      <c r="M922" s="5">
        <f t="shared" si="14"/>
        <v>123.50999999999999</v>
      </c>
      <c r="N922" t="str" cm="1">
        <f t="array" ref="N922">_xlfn.IFS(I922="Rob","Robusta",I922="Exc","Excelsa",I922="Ara","Arabica",I922="Lib","Liberica")</f>
        <v>Robusta</v>
      </c>
      <c r="O922" t="str" cm="1">
        <f t="array" ref="O922">_xlfn.SWITCH($J922,"M","Medium","L","Light","D","Dark")</f>
        <v>Dark</v>
      </c>
      <c r="P922" t="str">
        <f>_xlfn.XLOOKUP(Table1[[#This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IF(_xlfn.XLOOKUP(C923,customers!$A$1:$A$1001,customers!$C$1:$C$1001,,0)=0,"Not _Provided",_xlfn.XLOOKUP(C923,customers!$A$1:$A$1001,customers!$C$1:$C$1001,,0))</f>
        <v>mattwoolpl@nba.com</v>
      </c>
      <c r="H923" s="2" t="str">
        <f>_xlfn.XLOOKUP(C923,customers!$A$1:$A$1001,customers!$G$1:$G$1001,,0)</f>
        <v>United States</v>
      </c>
      <c r="I923" t="str">
        <f>INDEX(products!$B$1:$B$49,MATCH($D923,products!$A$1:$A$49,0))</f>
        <v>Lib</v>
      </c>
      <c r="J923" t="str">
        <f>INDEX(products!$C$1:$C$49,MATCH($D923,products!$A$1:$A$49,0))</f>
        <v>D</v>
      </c>
      <c r="K923" s="4">
        <f>INDEX(products!$D$1:$D$49,MATCH($D923,products!$A$1:$A$49,0))</f>
        <v>0.2</v>
      </c>
      <c r="L923" s="5">
        <f>INDEX(products!$E$1:$E$49,MATCH($D923,products!$A$1:$A$49,0))</f>
        <v>3.8849999999999998</v>
      </c>
      <c r="M923" s="5">
        <f t="shared" si="14"/>
        <v>7.77</v>
      </c>
      <c r="N923" t="str" cm="1">
        <f t="array" ref="N923">_xlfn.IFS(I923="Rob","Robusta",I923="Exc","Excelsa",I923="Ara","Arabica",I923="Lib","Liberica")</f>
        <v>Liberica</v>
      </c>
      <c r="O923" t="str" cm="1">
        <f t="array" ref="O923">_xlfn.SWITCH($J923,"M","Medium","L","Light","D","Dark")</f>
        <v>Dark</v>
      </c>
      <c r="P923" t="str">
        <f>_xlfn.XLOOKUP(Table1[[#This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IF(_xlfn.XLOOKUP(C924,customers!$A$1:$A$1001,customers!$C$1:$C$1001,,0)=0,"Not _Provided",_xlfn.XLOOKUP(C924,customers!$A$1:$A$1001,customers!$C$1:$C$1001,,0))</f>
        <v>Not _Provided</v>
      </c>
      <c r="H924" s="2" t="str">
        <f>_xlfn.XLOOKUP(C924,customers!$A$1:$A$1001,customers!$G$1:$G$1001,,0)</f>
        <v>United States</v>
      </c>
      <c r="I924" t="str">
        <f>INDEX(products!$B$1:$B$49,MATCH($D924,products!$A$1:$A$49,0))</f>
        <v>Ara</v>
      </c>
      <c r="J924" t="str">
        <f>INDEX(products!$C$1:$C$49,MATCH($D924,products!$A$1:$A$49,0))</f>
        <v>M</v>
      </c>
      <c r="K924" s="4">
        <f>INDEX(products!$D$1:$D$49,MATCH($D924,products!$A$1:$A$49,0))</f>
        <v>1</v>
      </c>
      <c r="L924" s="5">
        <f>INDEX(products!$E$1:$E$49,MATCH($D924,products!$A$1:$A$49,0))</f>
        <v>11.25</v>
      </c>
      <c r="M924" s="5">
        <f t="shared" si="14"/>
        <v>67.5</v>
      </c>
      <c r="N924" t="str" cm="1">
        <f t="array" ref="N924">_xlfn.IFS(I924="Rob","Robusta",I924="Exc","Excelsa",I924="Ara","Arabica",I924="Lib","Liberica")</f>
        <v>Arabica</v>
      </c>
      <c r="O924" t="str" cm="1">
        <f t="array" ref="O924">_xlfn.SWITCH($J924,"M","Medium","L","Light","D","Dark")</f>
        <v>Medium</v>
      </c>
      <c r="P924" t="str">
        <f>_xlfn.XLOOKUP(Table1[[#This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IF(_xlfn.XLOOKUP(C925,customers!$A$1:$A$1001,customers!$C$1:$C$1001,,0)=0,"Not _Provided",_xlfn.XLOOKUP(C925,customers!$A$1:$A$1001,customers!$C$1:$C$1001,,0))</f>
        <v>gwynespn@dagondesign.com</v>
      </c>
      <c r="H925" s="2" t="str">
        <f>_xlfn.XLOOKUP(C925,customers!$A$1:$A$1001,customers!$G$1:$G$1001,,0)</f>
        <v>United States</v>
      </c>
      <c r="I925" t="str">
        <f>INDEX(products!$B$1:$B$49,MATCH($D925,products!$A$1:$A$49,0))</f>
        <v>Exc</v>
      </c>
      <c r="J925" t="str">
        <f>INDEX(products!$C$1:$C$49,MATCH($D925,products!$A$1:$A$49,0))</f>
        <v>D</v>
      </c>
      <c r="K925" s="4">
        <f>INDEX(products!$D$1:$D$49,MATCH($D925,products!$A$1:$A$49,0))</f>
        <v>2.5</v>
      </c>
      <c r="L925" s="5">
        <f>INDEX(products!$E$1:$E$49,MATCH($D925,products!$A$1:$A$49,0))</f>
        <v>27.945</v>
      </c>
      <c r="M925" s="5">
        <f t="shared" si="14"/>
        <v>27.945</v>
      </c>
      <c r="N925" t="str" cm="1">
        <f t="array" ref="N925">_xlfn.IFS(I925="Rob","Robusta",I925="Exc","Excelsa",I925="Ara","Arabica",I925="Lib","Liberica")</f>
        <v>Excelsa</v>
      </c>
      <c r="O925" t="str" cm="1">
        <f t="array" ref="O925">_xlfn.SWITCH($J925,"M","Medium","L","Light","D","Dark")</f>
        <v>Dark</v>
      </c>
      <c r="P925" t="str">
        <f>_xlfn.XLOOKUP(Table1[[#This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IF(_xlfn.XLOOKUP(C926,customers!$A$1:$A$1001,customers!$C$1:$C$1001,,0)=0,"Not _Provided",_xlfn.XLOOKUP(C926,customers!$A$1:$A$1001,customers!$C$1:$C$1001,,0))</f>
        <v>cmaccourtpo@amazon.com</v>
      </c>
      <c r="H926" s="2" t="str">
        <f>_xlfn.XLOOKUP(C926,customers!$A$1:$A$1001,customers!$G$1:$G$1001,,0)</f>
        <v>United States</v>
      </c>
      <c r="I926" t="str">
        <f>INDEX(products!$B$1:$B$49,MATCH($D926,products!$A$1:$A$49,0))</f>
        <v>Ara</v>
      </c>
      <c r="J926" t="str">
        <f>INDEX(products!$C$1:$C$49,MATCH($D926,products!$A$1:$A$49,0))</f>
        <v>L</v>
      </c>
      <c r="K926" s="4">
        <f>INDEX(products!$D$1:$D$49,MATCH($D926,products!$A$1:$A$49,0))</f>
        <v>2.5</v>
      </c>
      <c r="L926" s="5">
        <f>INDEX(products!$E$1:$E$49,MATCH($D926,products!$A$1:$A$49,0))</f>
        <v>29.784999999999997</v>
      </c>
      <c r="M926" s="5">
        <f t="shared" si="14"/>
        <v>89.35499999999999</v>
      </c>
      <c r="N926" t="str" cm="1">
        <f t="array" ref="N926">_xlfn.IFS(I926="Rob","Robusta",I926="Exc","Excelsa",I926="Ara","Arabica",I926="Lib","Liberica")</f>
        <v>Arabica</v>
      </c>
      <c r="O926" t="str" cm="1">
        <f t="array" ref="O926">_xlfn.SWITCH($J926,"M","Medium","L","Light","D","Dark")</f>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IF(_xlfn.XLOOKUP(C927,customers!$A$1:$A$1001,customers!$C$1:$C$1001,,0)=0,"Not _Provided",_xlfn.XLOOKUP(C927,customers!$A$1:$A$1001,customers!$C$1:$C$1001,,0))</f>
        <v>Not _Provided</v>
      </c>
      <c r="H927" s="2" t="str">
        <f>_xlfn.XLOOKUP(C927,customers!$A$1:$A$1001,customers!$G$1:$G$1001,,0)</f>
        <v>United States</v>
      </c>
      <c r="I927" t="str">
        <f>INDEX(products!$B$1:$B$49,MATCH($D927,products!$A$1:$A$49,0))</f>
        <v>Ara</v>
      </c>
      <c r="J927" t="str">
        <f>INDEX(products!$C$1:$C$49,MATCH($D927,products!$A$1:$A$49,0))</f>
        <v>M</v>
      </c>
      <c r="K927" s="4">
        <f>INDEX(products!$D$1:$D$49,MATCH($D927,products!$A$1:$A$49,0))</f>
        <v>0.5</v>
      </c>
      <c r="L927" s="5">
        <f>INDEX(products!$E$1:$E$49,MATCH($D927,products!$A$1:$A$49,0))</f>
        <v>6.75</v>
      </c>
      <c r="M927" s="5">
        <f t="shared" si="14"/>
        <v>20.25</v>
      </c>
      <c r="N927" t="str" cm="1">
        <f t="array" ref="N927">_xlfn.IFS(I927="Rob","Robusta",I927="Exc","Excelsa",I927="Ara","Arabica",I927="Lib","Liberica")</f>
        <v>Arabica</v>
      </c>
      <c r="O927" t="str" cm="1">
        <f t="array" ref="O927">_xlfn.SWITCH($J927,"M","Medium","L","Light","D","Dark")</f>
        <v>Medium</v>
      </c>
      <c r="P927" t="str">
        <f>_xlfn.XLOOKUP(Table1[[#This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IF(_xlfn.XLOOKUP(C928,customers!$A$1:$A$1001,customers!$C$1:$C$1001,,0)=0,"Not _Provided",_xlfn.XLOOKUP(C928,customers!$A$1:$A$1001,customers!$C$1:$C$1001,,0))</f>
        <v>ewilsonepq@eepurl.com</v>
      </c>
      <c r="H928" s="2" t="str">
        <f>_xlfn.XLOOKUP(C928,customers!$A$1:$A$1001,customers!$G$1:$G$1001,,0)</f>
        <v>United States</v>
      </c>
      <c r="I928" t="str">
        <f>INDEX(products!$B$1:$B$49,MATCH($D928,products!$A$1:$A$49,0))</f>
        <v>Ara</v>
      </c>
      <c r="J928" t="str">
        <f>INDEX(products!$C$1:$C$49,MATCH($D928,products!$A$1:$A$49,0))</f>
        <v>M</v>
      </c>
      <c r="K928" s="4">
        <f>INDEX(products!$D$1:$D$49,MATCH($D928,products!$A$1:$A$49,0))</f>
        <v>0.5</v>
      </c>
      <c r="L928" s="5">
        <f>INDEX(products!$E$1:$E$49,MATCH($D928,products!$A$1:$A$49,0))</f>
        <v>6.75</v>
      </c>
      <c r="M928" s="5">
        <f t="shared" si="14"/>
        <v>33.75</v>
      </c>
      <c r="N928" t="str" cm="1">
        <f t="array" ref="N928">_xlfn.IFS(I928="Rob","Robusta",I928="Exc","Excelsa",I928="Ara","Arabica",I928="Lib","Liberica")</f>
        <v>Arabica</v>
      </c>
      <c r="O928" t="str" cm="1">
        <f t="array" ref="O928">_xlfn.SWITCH($J928,"M","Medium","L","Light","D","Dark")</f>
        <v>Medium</v>
      </c>
      <c r="P928" t="str">
        <f>_xlfn.XLOOKUP(Table1[[#This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IF(_xlfn.XLOOKUP(C929,customers!$A$1:$A$1001,customers!$C$1:$C$1001,,0)=0,"Not _Provided",_xlfn.XLOOKUP(C929,customers!$A$1:$A$1001,customers!$C$1:$C$1001,,0))</f>
        <v>dduffiepr@time.com</v>
      </c>
      <c r="H929" s="2" t="str">
        <f>_xlfn.XLOOKUP(C929,customers!$A$1:$A$1001,customers!$G$1:$G$1001,,0)</f>
        <v>United States</v>
      </c>
      <c r="I929" t="str">
        <f>INDEX(products!$B$1:$B$49,MATCH($D929,products!$A$1:$A$49,0))</f>
        <v>Exc</v>
      </c>
      <c r="J929" t="str">
        <f>INDEX(products!$C$1:$C$49,MATCH($D929,products!$A$1:$A$49,0))</f>
        <v>D</v>
      </c>
      <c r="K929" s="4">
        <f>INDEX(products!$D$1:$D$49,MATCH($D929,products!$A$1:$A$49,0))</f>
        <v>2.5</v>
      </c>
      <c r="L929" s="5">
        <f>INDEX(products!$E$1:$E$49,MATCH($D929,products!$A$1:$A$49,0))</f>
        <v>27.945</v>
      </c>
      <c r="M929" s="5">
        <f t="shared" si="14"/>
        <v>111.78</v>
      </c>
      <c r="N929" t="str" cm="1">
        <f t="array" ref="N929">_xlfn.IFS(I929="Rob","Robusta",I929="Exc","Excelsa",I929="Ara","Arabica",I929="Lib","Liberica")</f>
        <v>Excelsa</v>
      </c>
      <c r="O929" t="str" cm="1">
        <f t="array" ref="O929">_xlfn.SWITCH($J929,"M","Medium","L","Light","D","Dark")</f>
        <v>Dark</v>
      </c>
      <c r="P929" t="str">
        <f>_xlfn.XLOOKUP(Table1[[#This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IF(_xlfn.XLOOKUP(C930,customers!$A$1:$A$1001,customers!$C$1:$C$1001,,0)=0,"Not _Provided",_xlfn.XLOOKUP(C930,customers!$A$1:$A$1001,customers!$C$1:$C$1001,,0))</f>
        <v>mmatiasekps@ucoz.ru</v>
      </c>
      <c r="H930" s="2" t="str">
        <f>_xlfn.XLOOKUP(C930,customers!$A$1:$A$1001,customers!$G$1:$G$1001,,0)</f>
        <v>United States</v>
      </c>
      <c r="I930" t="str">
        <f>INDEX(products!$B$1:$B$49,MATCH($D930,products!$A$1:$A$49,0))</f>
        <v>Exc</v>
      </c>
      <c r="J930" t="str">
        <f>INDEX(products!$C$1:$C$49,MATCH($D930,products!$A$1:$A$49,0))</f>
        <v>M</v>
      </c>
      <c r="K930" s="4">
        <f>INDEX(products!$D$1:$D$49,MATCH($D930,products!$A$1:$A$49,0))</f>
        <v>2.5</v>
      </c>
      <c r="L930" s="5">
        <f>INDEX(products!$E$1:$E$49,MATCH($D930,products!$A$1:$A$49,0))</f>
        <v>31.624999999999996</v>
      </c>
      <c r="M930" s="5">
        <f t="shared" si="14"/>
        <v>63.249999999999993</v>
      </c>
      <c r="N930" t="str" cm="1">
        <f t="array" ref="N930">_xlfn.IFS(I930="Rob","Robusta",I930="Exc","Excelsa",I930="Ara","Arabica",I930="Lib","Liberica")</f>
        <v>Excelsa</v>
      </c>
      <c r="O930" t="str" cm="1">
        <f t="array" ref="O930">_xlfn.SWITCH($J930,"M","Medium","L","Light","D","Dark")</f>
        <v>Medium</v>
      </c>
      <c r="P930" t="str">
        <f>_xlfn.XLOOKUP(Table1[[#This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IF(_xlfn.XLOOKUP(C931,customers!$A$1:$A$1001,customers!$C$1:$C$1001,,0)=0,"Not _Provided",_xlfn.XLOOKUP(C931,customers!$A$1:$A$1001,customers!$C$1:$C$1001,,0))</f>
        <v>jcamillopt@shinystat.com</v>
      </c>
      <c r="H931" s="2" t="str">
        <f>_xlfn.XLOOKUP(C931,customers!$A$1:$A$1001,customers!$G$1:$G$1001,,0)</f>
        <v>United States</v>
      </c>
      <c r="I931" t="str">
        <f>INDEX(products!$B$1:$B$49,MATCH($D931,products!$A$1:$A$49,0))</f>
        <v>Exc</v>
      </c>
      <c r="J931" t="str">
        <f>INDEX(products!$C$1:$C$49,MATCH($D931,products!$A$1:$A$49,0))</f>
        <v>L</v>
      </c>
      <c r="K931" s="4">
        <f>INDEX(products!$D$1:$D$49,MATCH($D931,products!$A$1:$A$49,0))</f>
        <v>0.2</v>
      </c>
      <c r="L931" s="5">
        <f>INDEX(products!$E$1:$E$49,MATCH($D931,products!$A$1:$A$49,0))</f>
        <v>4.4550000000000001</v>
      </c>
      <c r="M931" s="5">
        <f t="shared" si="14"/>
        <v>8.91</v>
      </c>
      <c r="N931" t="str" cm="1">
        <f t="array" ref="N931">_xlfn.IFS(I931="Rob","Robusta",I931="Exc","Excelsa",I931="Ara","Arabica",I931="Lib","Liberica")</f>
        <v>Excelsa</v>
      </c>
      <c r="O931" t="str" cm="1">
        <f t="array" ref="O931">_xlfn.SWITCH($J931,"M","Medium","L","Light","D","Dark")</f>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IF(_xlfn.XLOOKUP(C932,customers!$A$1:$A$1001,customers!$C$1:$C$1001,,0)=0,"Not _Provided",_xlfn.XLOOKUP(C932,customers!$A$1:$A$1001,customers!$C$1:$C$1001,,0))</f>
        <v>kphilbrickpu@cdc.gov</v>
      </c>
      <c r="H932" s="2" t="str">
        <f>_xlfn.XLOOKUP(C932,customers!$A$1:$A$1001,customers!$G$1:$G$1001,,0)</f>
        <v>United States</v>
      </c>
      <c r="I932" t="str">
        <f>INDEX(products!$B$1:$B$49,MATCH($D932,products!$A$1:$A$49,0))</f>
        <v>Exc</v>
      </c>
      <c r="J932" t="str">
        <f>INDEX(products!$C$1:$C$49,MATCH($D932,products!$A$1:$A$49,0))</f>
        <v>D</v>
      </c>
      <c r="K932" s="4">
        <f>INDEX(products!$D$1:$D$49,MATCH($D932,products!$A$1:$A$49,0))</f>
        <v>1</v>
      </c>
      <c r="L932" s="5">
        <f>INDEX(products!$E$1:$E$49,MATCH($D932,products!$A$1:$A$49,0))</f>
        <v>12.15</v>
      </c>
      <c r="M932" s="5">
        <f t="shared" si="14"/>
        <v>12.15</v>
      </c>
      <c r="N932" t="str" cm="1">
        <f t="array" ref="N932">_xlfn.IFS(I932="Rob","Robusta",I932="Exc","Excelsa",I932="Ara","Arabica",I932="Lib","Liberica")</f>
        <v>Excelsa</v>
      </c>
      <c r="O932" t="str" cm="1">
        <f t="array" ref="O932">_xlfn.SWITCH($J932,"M","Medium","L","Light","D","Dark")</f>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IF(_xlfn.XLOOKUP(C933,customers!$A$1:$A$1001,customers!$C$1:$C$1001,,0)=0,"Not _Provided",_xlfn.XLOOKUP(C933,customers!$A$1:$A$1001,customers!$C$1:$C$1001,,0))</f>
        <v>Not _Provided</v>
      </c>
      <c r="H933" s="2" t="str">
        <f>_xlfn.XLOOKUP(C933,customers!$A$1:$A$1001,customers!$G$1:$G$1001,,0)</f>
        <v>United States</v>
      </c>
      <c r="I933" t="str">
        <f>INDEX(products!$B$1:$B$49,MATCH($D933,products!$A$1:$A$49,0))</f>
        <v>Ara</v>
      </c>
      <c r="J933" t="str">
        <f>INDEX(products!$C$1:$C$49,MATCH($D933,products!$A$1:$A$49,0))</f>
        <v>D</v>
      </c>
      <c r="K933" s="4">
        <f>INDEX(products!$D$1:$D$49,MATCH($D933,products!$A$1:$A$49,0))</f>
        <v>0.5</v>
      </c>
      <c r="L933" s="5">
        <f>INDEX(products!$E$1:$E$49,MATCH($D933,products!$A$1:$A$49,0))</f>
        <v>5.97</v>
      </c>
      <c r="M933" s="5">
        <f t="shared" si="14"/>
        <v>23.88</v>
      </c>
      <c r="N933" t="str" cm="1">
        <f t="array" ref="N933">_xlfn.IFS(I933="Rob","Robusta",I933="Exc","Excelsa",I933="Ara","Arabica",I933="Lib","Liberica")</f>
        <v>Arabica</v>
      </c>
      <c r="O933" t="str" cm="1">
        <f t="array" ref="O933">_xlfn.SWITCH($J933,"M","Medium","L","Light","D","Dark")</f>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IF(_xlfn.XLOOKUP(C934,customers!$A$1:$A$1001,customers!$C$1:$C$1001,,0)=0,"Not _Provided",_xlfn.XLOOKUP(C934,customers!$A$1:$A$1001,customers!$C$1:$C$1001,,0))</f>
        <v>bsillispw@istockphoto.com</v>
      </c>
      <c r="H934" s="2" t="str">
        <f>_xlfn.XLOOKUP(C934,customers!$A$1:$A$1001,customers!$G$1:$G$1001,,0)</f>
        <v>United States</v>
      </c>
      <c r="I934" t="str">
        <f>INDEX(products!$B$1:$B$49,MATCH($D934,products!$A$1:$A$49,0))</f>
        <v>Exc</v>
      </c>
      <c r="J934" t="str">
        <f>INDEX(products!$C$1:$C$49,MATCH($D934,products!$A$1:$A$49,0))</f>
        <v>M</v>
      </c>
      <c r="K934" s="4">
        <f>INDEX(products!$D$1:$D$49,MATCH($D934,products!$A$1:$A$49,0))</f>
        <v>1</v>
      </c>
      <c r="L934" s="5">
        <f>INDEX(products!$E$1:$E$49,MATCH($D934,products!$A$1:$A$49,0))</f>
        <v>13.75</v>
      </c>
      <c r="M934" s="5">
        <f t="shared" si="14"/>
        <v>55</v>
      </c>
      <c r="N934" t="str" cm="1">
        <f t="array" ref="N934">_xlfn.IFS(I934="Rob","Robusta",I934="Exc","Excelsa",I934="Ara","Arabica",I934="Lib","Liberica")</f>
        <v>Excelsa</v>
      </c>
      <c r="O934" t="str" cm="1">
        <f t="array" ref="O934">_xlfn.SWITCH($J934,"M","Medium","L","Light","D","Dark")</f>
        <v>Medium</v>
      </c>
      <c r="P934" t="str">
        <f>_xlfn.XLOOKUP(Table1[[#This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IF(_xlfn.XLOOKUP(C935,customers!$A$1:$A$1001,customers!$C$1:$C$1001,,0)=0,"Not _Provided",_xlfn.XLOOKUP(C935,customers!$A$1:$A$1001,customers!$C$1:$C$1001,,0))</f>
        <v>Not _Provided</v>
      </c>
      <c r="H935" s="2" t="str">
        <f>_xlfn.XLOOKUP(C935,customers!$A$1:$A$1001,customers!$G$1:$G$1001,,0)</f>
        <v>United States</v>
      </c>
      <c r="I935" t="str">
        <f>INDEX(products!$B$1:$B$49,MATCH($D935,products!$A$1:$A$49,0))</f>
        <v>Rob</v>
      </c>
      <c r="J935" t="str">
        <f>INDEX(products!$C$1:$C$49,MATCH($D935,products!$A$1:$A$49,0))</f>
        <v>D</v>
      </c>
      <c r="K935" s="4">
        <f>INDEX(products!$D$1:$D$49,MATCH($D935,products!$A$1:$A$49,0))</f>
        <v>1</v>
      </c>
      <c r="L935" s="5">
        <f>INDEX(products!$E$1:$E$49,MATCH($D935,products!$A$1:$A$49,0))</f>
        <v>8.9499999999999993</v>
      </c>
      <c r="M935" s="5">
        <f t="shared" si="14"/>
        <v>26.849999999999998</v>
      </c>
      <c r="N935" t="str" cm="1">
        <f t="array" ref="N935">_xlfn.IFS(I935="Rob","Robusta",I935="Exc","Excelsa",I935="Ara","Arabica",I935="Lib","Liberica")</f>
        <v>Robusta</v>
      </c>
      <c r="O935" t="str" cm="1">
        <f t="array" ref="O935">_xlfn.SWITCH($J935,"M","Medium","L","Light","D","Dark")</f>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IF(_xlfn.XLOOKUP(C936,customers!$A$1:$A$1001,customers!$C$1:$C$1001,,0)=0,"Not _Provided",_xlfn.XLOOKUP(C936,customers!$A$1:$A$1001,customers!$C$1:$C$1001,,0))</f>
        <v>rcuttspy@techcrunch.com</v>
      </c>
      <c r="H936" s="2" t="str">
        <f>_xlfn.XLOOKUP(C936,customers!$A$1:$A$1001,customers!$G$1:$G$1001,,0)</f>
        <v>United States</v>
      </c>
      <c r="I936" t="str">
        <f>INDEX(products!$B$1:$B$49,MATCH($D936,products!$A$1:$A$49,0))</f>
        <v>Rob</v>
      </c>
      <c r="J936" t="str">
        <f>INDEX(products!$C$1:$C$49,MATCH($D936,products!$A$1:$A$49,0))</f>
        <v>M</v>
      </c>
      <c r="K936" s="4">
        <f>INDEX(products!$D$1:$D$49,MATCH($D936,products!$A$1:$A$49,0))</f>
        <v>2.5</v>
      </c>
      <c r="L936" s="5">
        <f>INDEX(products!$E$1:$E$49,MATCH($D936,products!$A$1:$A$49,0))</f>
        <v>22.884999999999998</v>
      </c>
      <c r="M936" s="5">
        <f t="shared" si="14"/>
        <v>114.42499999999998</v>
      </c>
      <c r="N936" t="str" cm="1">
        <f t="array" ref="N936">_xlfn.IFS(I936="Rob","Robusta",I936="Exc","Excelsa",I936="Ara","Arabica",I936="Lib","Liberica")</f>
        <v>Robusta</v>
      </c>
      <c r="O936" t="str" cm="1">
        <f t="array" ref="O936">_xlfn.SWITCH($J936,"M","Medium","L","Light","D","Dark")</f>
        <v>Medium</v>
      </c>
      <c r="P936" t="str">
        <f>_xlfn.XLOOKUP(Table1[[#This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IF(_xlfn.XLOOKUP(C937,customers!$A$1:$A$1001,customers!$C$1:$C$1001,,0)=0,"Not _Provided",_xlfn.XLOOKUP(C937,customers!$A$1:$A$1001,customers!$C$1:$C$1001,,0))</f>
        <v>mdelvespz@nature.com</v>
      </c>
      <c r="H937" s="2" t="str">
        <f>_xlfn.XLOOKUP(C937,customers!$A$1:$A$1001,customers!$G$1:$G$1001,,0)</f>
        <v>United States</v>
      </c>
      <c r="I937" t="str">
        <f>INDEX(products!$B$1:$B$49,MATCH($D937,products!$A$1:$A$49,0))</f>
        <v>Ara</v>
      </c>
      <c r="J937" t="str">
        <f>INDEX(products!$C$1:$C$49,MATCH($D937,products!$A$1:$A$49,0))</f>
        <v>M</v>
      </c>
      <c r="K937" s="4">
        <f>INDEX(products!$D$1:$D$49,MATCH($D937,products!$A$1:$A$49,0))</f>
        <v>2.5</v>
      </c>
      <c r="L937" s="5">
        <f>INDEX(products!$E$1:$E$49,MATCH($D937,products!$A$1:$A$49,0))</f>
        <v>25.874999999999996</v>
      </c>
      <c r="M937" s="5">
        <f t="shared" si="14"/>
        <v>155.24999999999997</v>
      </c>
      <c r="N937" t="str" cm="1">
        <f t="array" ref="N937">_xlfn.IFS(I937="Rob","Robusta",I937="Exc","Excelsa",I937="Ara","Arabica",I937="Lib","Liberica")</f>
        <v>Arabica</v>
      </c>
      <c r="O937" t="str" cm="1">
        <f t="array" ref="O937">_xlfn.SWITCH($J937,"M","Medium","L","Light","D","Dark")</f>
        <v>Medium</v>
      </c>
      <c r="P937" t="str">
        <f>_xlfn.XLOOKUP(Table1[[#This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IF(_xlfn.XLOOKUP(C938,customers!$A$1:$A$1001,customers!$C$1:$C$1001,,0)=0,"Not _Provided",_xlfn.XLOOKUP(C938,customers!$A$1:$A$1001,customers!$C$1:$C$1001,,0))</f>
        <v>dgrittonq0@nydailynews.com</v>
      </c>
      <c r="H938" s="2" t="str">
        <f>_xlfn.XLOOKUP(C938,customers!$A$1:$A$1001,customers!$G$1:$G$1001,,0)</f>
        <v>United States</v>
      </c>
      <c r="I938" t="str">
        <f>INDEX(products!$B$1:$B$49,MATCH($D938,products!$A$1:$A$49,0))</f>
        <v>Lib</v>
      </c>
      <c r="J938" t="str">
        <f>INDEX(products!$C$1:$C$49,MATCH($D938,products!$A$1:$A$49,0))</f>
        <v>D</v>
      </c>
      <c r="K938" s="4">
        <f>INDEX(products!$D$1:$D$49,MATCH($D938,products!$A$1:$A$49,0))</f>
        <v>0.5</v>
      </c>
      <c r="L938" s="5">
        <f>INDEX(products!$E$1:$E$49,MATCH($D938,products!$A$1:$A$49,0))</f>
        <v>7.77</v>
      </c>
      <c r="M938" s="5">
        <f t="shared" si="14"/>
        <v>23.31</v>
      </c>
      <c r="N938" t="str" cm="1">
        <f t="array" ref="N938">_xlfn.IFS(I938="Rob","Robusta",I938="Exc","Excelsa",I938="Ara","Arabica",I938="Lib","Liberica")</f>
        <v>Liberica</v>
      </c>
      <c r="O938" t="str" cm="1">
        <f t="array" ref="O938">_xlfn.SWITCH($J938,"M","Medium","L","Light","D","Dark")</f>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IF(_xlfn.XLOOKUP(C939,customers!$A$1:$A$1001,customers!$C$1:$C$1001,,0)=0,"Not _Provided",_xlfn.XLOOKUP(C939,customers!$A$1:$A$1001,customers!$C$1:$C$1001,,0))</f>
        <v>dgrittonq0@nydailynews.com</v>
      </c>
      <c r="H939" s="2" t="str">
        <f>_xlfn.XLOOKUP(C939,customers!$A$1:$A$1001,customers!$G$1:$G$1001,,0)</f>
        <v>United States</v>
      </c>
      <c r="I939" t="str">
        <f>INDEX(products!$B$1:$B$49,MATCH($D939,products!$A$1:$A$49,0))</f>
        <v>Rob</v>
      </c>
      <c r="J939" t="str">
        <f>INDEX(products!$C$1:$C$49,MATCH($D939,products!$A$1:$A$49,0))</f>
        <v>M</v>
      </c>
      <c r="K939" s="4">
        <f>INDEX(products!$D$1:$D$49,MATCH($D939,products!$A$1:$A$49,0))</f>
        <v>2.5</v>
      </c>
      <c r="L939" s="5">
        <f>INDEX(products!$E$1:$E$49,MATCH($D939,products!$A$1:$A$49,0))</f>
        <v>22.884999999999998</v>
      </c>
      <c r="M939" s="5">
        <f t="shared" si="14"/>
        <v>91.539999999999992</v>
      </c>
      <c r="N939" t="str" cm="1">
        <f t="array" ref="N939">_xlfn.IFS(I939="Rob","Robusta",I939="Exc","Excelsa",I939="Ara","Arabica",I939="Lib","Liberica")</f>
        <v>Robusta</v>
      </c>
      <c r="O939" t="str" cm="1">
        <f t="array" ref="O939">_xlfn.SWITCH($J939,"M","Medium","L","Light","D","Dark")</f>
        <v>Medium</v>
      </c>
      <c r="P939" t="str">
        <f>_xlfn.XLOOKUP(Table1[[#This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IF(_xlfn.XLOOKUP(C940,customers!$A$1:$A$1001,customers!$C$1:$C$1001,,0)=0,"Not _Provided",_xlfn.XLOOKUP(C940,customers!$A$1:$A$1001,customers!$C$1:$C$1001,,0))</f>
        <v>dgutq2@umich.edu</v>
      </c>
      <c r="H940" s="2" t="str">
        <f>_xlfn.XLOOKUP(C940,customers!$A$1:$A$1001,customers!$G$1:$G$1001,,0)</f>
        <v>United States</v>
      </c>
      <c r="I940" t="str">
        <f>INDEX(products!$B$1:$B$49,MATCH($D940,products!$A$1:$A$49,0))</f>
        <v>Exc</v>
      </c>
      <c r="J940" t="str">
        <f>INDEX(products!$C$1:$C$49,MATCH($D940,products!$A$1:$A$49,0))</f>
        <v>L</v>
      </c>
      <c r="K940" s="4">
        <f>INDEX(products!$D$1:$D$49,MATCH($D940,products!$A$1:$A$49,0))</f>
        <v>1</v>
      </c>
      <c r="L940" s="5">
        <f>INDEX(products!$E$1:$E$49,MATCH($D940,products!$A$1:$A$49,0))</f>
        <v>14.85</v>
      </c>
      <c r="M940" s="5">
        <f t="shared" si="14"/>
        <v>74.25</v>
      </c>
      <c r="N940" t="str" cm="1">
        <f t="array" ref="N940">_xlfn.IFS(I940="Rob","Robusta",I940="Exc","Excelsa",I940="Ara","Arabica",I940="Lib","Liberica")</f>
        <v>Excelsa</v>
      </c>
      <c r="O940" t="str" cm="1">
        <f t="array" ref="O940">_xlfn.SWITCH($J940,"M","Medium","L","Light","D","Dark")</f>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IF(_xlfn.XLOOKUP(C941,customers!$A$1:$A$1001,customers!$C$1:$C$1001,,0)=0,"Not _Provided",_xlfn.XLOOKUP(C941,customers!$A$1:$A$1001,customers!$C$1:$C$1001,,0))</f>
        <v>wpummeryq3@topsy.com</v>
      </c>
      <c r="H941" s="2" t="str">
        <f>_xlfn.XLOOKUP(C941,customers!$A$1:$A$1001,customers!$G$1:$G$1001,,0)</f>
        <v>United States</v>
      </c>
      <c r="I941" t="str">
        <f>INDEX(products!$B$1:$B$49,MATCH($D941,products!$A$1:$A$49,0))</f>
        <v>Lib</v>
      </c>
      <c r="J941" t="str">
        <f>INDEX(products!$C$1:$C$49,MATCH($D941,products!$A$1:$A$49,0))</f>
        <v>L</v>
      </c>
      <c r="K941" s="4">
        <f>INDEX(products!$D$1:$D$49,MATCH($D941,products!$A$1:$A$49,0))</f>
        <v>0.2</v>
      </c>
      <c r="L941" s="5">
        <f>INDEX(products!$E$1:$E$49,MATCH($D941,products!$A$1:$A$49,0))</f>
        <v>4.7549999999999999</v>
      </c>
      <c r="M941" s="5">
        <f t="shared" si="14"/>
        <v>28.53</v>
      </c>
      <c r="N941" t="str" cm="1">
        <f t="array" ref="N941">_xlfn.IFS(I941="Rob","Robusta",I941="Exc","Excelsa",I941="Ara","Arabica",I941="Lib","Liberica")</f>
        <v>Liberica</v>
      </c>
      <c r="O941" t="str" cm="1">
        <f t="array" ref="O941">_xlfn.SWITCH($J941,"M","Medium","L","Light","D","Dark")</f>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IF(_xlfn.XLOOKUP(C942,customers!$A$1:$A$1001,customers!$C$1:$C$1001,,0)=0,"Not _Provided",_xlfn.XLOOKUP(C942,customers!$A$1:$A$1001,customers!$C$1:$C$1001,,0))</f>
        <v>gsiudaq4@nytimes.com</v>
      </c>
      <c r="H942" s="2" t="str">
        <f>_xlfn.XLOOKUP(C942,customers!$A$1:$A$1001,customers!$G$1:$G$1001,,0)</f>
        <v>United States</v>
      </c>
      <c r="I942" t="str">
        <f>INDEX(products!$B$1:$B$49,MATCH($D942,products!$A$1:$A$49,0))</f>
        <v>Rob</v>
      </c>
      <c r="J942" t="str">
        <f>INDEX(products!$C$1:$C$49,MATCH($D942,products!$A$1:$A$49,0))</f>
        <v>L</v>
      </c>
      <c r="K942" s="4">
        <f>INDEX(products!$D$1:$D$49,MATCH($D942,products!$A$1:$A$49,0))</f>
        <v>0.5</v>
      </c>
      <c r="L942" s="5">
        <f>INDEX(products!$E$1:$E$49,MATCH($D942,products!$A$1:$A$49,0))</f>
        <v>7.169999999999999</v>
      </c>
      <c r="M942" s="5">
        <f t="shared" si="14"/>
        <v>14.339999999999998</v>
      </c>
      <c r="N942" t="str" cm="1">
        <f t="array" ref="N942">_xlfn.IFS(I942="Rob","Robusta",I942="Exc","Excelsa",I942="Ara","Arabica",I942="Lib","Liberica")</f>
        <v>Robusta</v>
      </c>
      <c r="O942" t="str" cm="1">
        <f t="array" ref="O942">_xlfn.SWITCH($J942,"M","Medium","L","Light","D","Dark")</f>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IF(_xlfn.XLOOKUP(C943,customers!$A$1:$A$1001,customers!$C$1:$C$1001,,0)=0,"Not _Provided",_xlfn.XLOOKUP(C943,customers!$A$1:$A$1001,customers!$C$1:$C$1001,,0))</f>
        <v>hcrowneq5@wufoo.com</v>
      </c>
      <c r="H943" s="2" t="str">
        <f>_xlfn.XLOOKUP(C943,customers!$A$1:$A$1001,customers!$G$1:$G$1001,,0)</f>
        <v>Ireland</v>
      </c>
      <c r="I943" t="str">
        <f>INDEX(products!$B$1:$B$49,MATCH($D943,products!$A$1:$A$49,0))</f>
        <v>Ara</v>
      </c>
      <c r="J943" t="str">
        <f>INDEX(products!$C$1:$C$49,MATCH($D943,products!$A$1:$A$49,0))</f>
        <v>L</v>
      </c>
      <c r="K943" s="4">
        <f>INDEX(products!$D$1:$D$49,MATCH($D943,products!$A$1:$A$49,0))</f>
        <v>0.5</v>
      </c>
      <c r="L943" s="5">
        <f>INDEX(products!$E$1:$E$49,MATCH($D943,products!$A$1:$A$49,0))</f>
        <v>7.77</v>
      </c>
      <c r="M943" s="5">
        <f t="shared" si="14"/>
        <v>15.54</v>
      </c>
      <c r="N943" t="str" cm="1">
        <f t="array" ref="N943">_xlfn.IFS(I943="Rob","Robusta",I943="Exc","Excelsa",I943="Ara","Arabica",I943="Lib","Liberica")</f>
        <v>Arabica</v>
      </c>
      <c r="O943" t="str" cm="1">
        <f t="array" ref="O943">_xlfn.SWITCH($J943,"M","Medium","L","Light","D","Dark")</f>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IF(_xlfn.XLOOKUP(C944,customers!$A$1:$A$1001,customers!$C$1:$C$1001,,0)=0,"Not _Provided",_xlfn.XLOOKUP(C944,customers!$A$1:$A$1001,customers!$C$1:$C$1001,,0))</f>
        <v>vpawseyq6@tiny.cc</v>
      </c>
      <c r="H944" s="2" t="str">
        <f>_xlfn.XLOOKUP(C944,customers!$A$1:$A$1001,customers!$G$1:$G$1001,,0)</f>
        <v>United States</v>
      </c>
      <c r="I944" t="str">
        <f>INDEX(products!$B$1:$B$49,MATCH($D944,products!$A$1:$A$49,0))</f>
        <v>Rob</v>
      </c>
      <c r="J944" t="str">
        <f>INDEX(products!$C$1:$C$49,MATCH($D944,products!$A$1:$A$49,0))</f>
        <v>L</v>
      </c>
      <c r="K944" s="4">
        <f>INDEX(products!$D$1:$D$49,MATCH($D944,products!$A$1:$A$49,0))</f>
        <v>1</v>
      </c>
      <c r="L944" s="5">
        <f>INDEX(products!$E$1:$E$49,MATCH($D944,products!$A$1:$A$49,0))</f>
        <v>11.95</v>
      </c>
      <c r="M944" s="5">
        <f t="shared" si="14"/>
        <v>35.849999999999994</v>
      </c>
      <c r="N944" t="str" cm="1">
        <f t="array" ref="N944">_xlfn.IFS(I944="Rob","Robusta",I944="Exc","Excelsa",I944="Ara","Arabica",I944="Lib","Liberica")</f>
        <v>Robusta</v>
      </c>
      <c r="O944" t="str" cm="1">
        <f t="array" ref="O944">_xlfn.SWITCH($J944,"M","Medium","L","Light","D","Dark")</f>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IF(_xlfn.XLOOKUP(C945,customers!$A$1:$A$1001,customers!$C$1:$C$1001,,0)=0,"Not _Provided",_xlfn.XLOOKUP(C945,customers!$A$1:$A$1001,customers!$C$1:$C$1001,,0))</f>
        <v>awaterhouseq7@istockphoto.com</v>
      </c>
      <c r="H945" s="2" t="str">
        <f>_xlfn.XLOOKUP(C945,customers!$A$1:$A$1001,customers!$G$1:$G$1001,,0)</f>
        <v>United States</v>
      </c>
      <c r="I945" t="str">
        <f>INDEX(products!$B$1:$B$49,MATCH($D945,products!$A$1:$A$49,0))</f>
        <v>Ara</v>
      </c>
      <c r="J945" t="str">
        <f>INDEX(products!$C$1:$C$49,MATCH($D945,products!$A$1:$A$49,0))</f>
        <v>L</v>
      </c>
      <c r="K945" s="4">
        <f>INDEX(products!$D$1:$D$49,MATCH($D945,products!$A$1:$A$49,0))</f>
        <v>0.5</v>
      </c>
      <c r="L945" s="5">
        <f>INDEX(products!$E$1:$E$49,MATCH($D945,products!$A$1:$A$49,0))</f>
        <v>7.77</v>
      </c>
      <c r="M945" s="5">
        <f t="shared" si="14"/>
        <v>46.62</v>
      </c>
      <c r="N945" t="str" cm="1">
        <f t="array" ref="N945">_xlfn.IFS(I945="Rob","Robusta",I945="Exc","Excelsa",I945="Ara","Arabica",I945="Lib","Liberica")</f>
        <v>Arabica</v>
      </c>
      <c r="O945" t="str" cm="1">
        <f t="array" ref="O945">_xlfn.SWITCH($J945,"M","Medium","L","Light","D","Dark")</f>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IF(_xlfn.XLOOKUP(C946,customers!$A$1:$A$1001,customers!$C$1:$C$1001,,0)=0,"Not _Provided",_xlfn.XLOOKUP(C946,customers!$A$1:$A$1001,customers!$C$1:$C$1001,,0))</f>
        <v>fhaughianq8@1688.com</v>
      </c>
      <c r="H946" s="2" t="str">
        <f>_xlfn.XLOOKUP(C946,customers!$A$1:$A$1001,customers!$G$1:$G$1001,,0)</f>
        <v>United States</v>
      </c>
      <c r="I946" t="str">
        <f>INDEX(products!$B$1:$B$49,MATCH($D946,products!$A$1:$A$49,0))</f>
        <v>Rob</v>
      </c>
      <c r="J946" t="str">
        <f>INDEX(products!$C$1:$C$49,MATCH($D946,products!$A$1:$A$49,0))</f>
        <v>L</v>
      </c>
      <c r="K946" s="4">
        <f>INDEX(products!$D$1:$D$49,MATCH($D946,products!$A$1:$A$49,0))</f>
        <v>0.5</v>
      </c>
      <c r="L946" s="5">
        <f>INDEX(products!$E$1:$E$49,MATCH($D946,products!$A$1:$A$49,0))</f>
        <v>7.169999999999999</v>
      </c>
      <c r="M946" s="5">
        <f t="shared" si="14"/>
        <v>35.849999999999994</v>
      </c>
      <c r="N946" t="str" cm="1">
        <f t="array" ref="N946">_xlfn.IFS(I946="Rob","Robusta",I946="Exc","Excelsa",I946="Ara","Arabica",I946="Lib","Liberica")</f>
        <v>Robusta</v>
      </c>
      <c r="O946" t="str" cm="1">
        <f t="array" ref="O946">_xlfn.SWITCH($J946,"M","Medium","L","Light","D","Dark")</f>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IF(_xlfn.XLOOKUP(C947,customers!$A$1:$A$1001,customers!$C$1:$C$1001,,0)=0,"Not _Provided",_xlfn.XLOOKUP(C947,customers!$A$1:$A$1001,customers!$C$1:$C$1001,,0))</f>
        <v>Not _Provided</v>
      </c>
      <c r="H947" s="2" t="str">
        <f>_xlfn.XLOOKUP(C947,customers!$A$1:$A$1001,customers!$G$1:$G$1001,,0)</f>
        <v>United States</v>
      </c>
      <c r="I947" t="str">
        <f>INDEX(products!$B$1:$B$49,MATCH($D947,products!$A$1:$A$49,0))</f>
        <v>Lib</v>
      </c>
      <c r="J947" t="str">
        <f>INDEX(products!$C$1:$C$49,MATCH($D947,products!$A$1:$A$49,0))</f>
        <v>D</v>
      </c>
      <c r="K947" s="4">
        <f>INDEX(products!$D$1:$D$49,MATCH($D947,products!$A$1:$A$49,0))</f>
        <v>2.5</v>
      </c>
      <c r="L947" s="5">
        <f>INDEX(products!$E$1:$E$49,MATCH($D947,products!$A$1:$A$49,0))</f>
        <v>29.784999999999997</v>
      </c>
      <c r="M947" s="5">
        <f t="shared" si="14"/>
        <v>119.13999999999999</v>
      </c>
      <c r="N947" t="str" cm="1">
        <f t="array" ref="N947">_xlfn.IFS(I947="Rob","Robusta",I947="Exc","Excelsa",I947="Ara","Arabica",I947="Lib","Liberica")</f>
        <v>Liberica</v>
      </c>
      <c r="O947" t="str" cm="1">
        <f t="array" ref="O947">_xlfn.SWITCH($J947,"M","Medium","L","Light","D","Dark")</f>
        <v>Dark</v>
      </c>
      <c r="P947" t="str">
        <f>_xlfn.XLOOKUP(Table1[[#This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IF(_xlfn.XLOOKUP(C948,customers!$A$1:$A$1001,customers!$C$1:$C$1001,,0)=0,"Not _Provided",_xlfn.XLOOKUP(C948,customers!$A$1:$A$1001,customers!$C$1:$C$1001,,0))</f>
        <v>Not _Provided</v>
      </c>
      <c r="H948" s="2" t="str">
        <f>_xlfn.XLOOKUP(C948,customers!$A$1:$A$1001,customers!$G$1:$G$1001,,0)</f>
        <v>United States</v>
      </c>
      <c r="I948" t="str">
        <f>INDEX(products!$B$1:$B$49,MATCH($D948,products!$A$1:$A$49,0))</f>
        <v>Lib</v>
      </c>
      <c r="J948" t="str">
        <f>INDEX(products!$C$1:$C$49,MATCH($D948,products!$A$1:$A$49,0))</f>
        <v>D</v>
      </c>
      <c r="K948" s="4">
        <f>INDEX(products!$D$1:$D$49,MATCH($D948,products!$A$1:$A$49,0))</f>
        <v>0.5</v>
      </c>
      <c r="L948" s="5">
        <f>INDEX(products!$E$1:$E$49,MATCH($D948,products!$A$1:$A$49,0))</f>
        <v>7.77</v>
      </c>
      <c r="M948" s="5">
        <f t="shared" si="14"/>
        <v>23.31</v>
      </c>
      <c r="N948" t="str" cm="1">
        <f t="array" ref="N948">_xlfn.IFS(I948="Rob","Robusta",I948="Exc","Excelsa",I948="Ara","Arabica",I948="Lib","Liberica")</f>
        <v>Liberica</v>
      </c>
      <c r="O948" t="str" cm="1">
        <f t="array" ref="O948">_xlfn.SWITCH($J948,"M","Medium","L","Light","D","Dark")</f>
        <v>Dark</v>
      </c>
      <c r="P948" t="str">
        <f>_xlfn.XLOOKUP(Table1[[#This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IF(_xlfn.XLOOKUP(C949,customers!$A$1:$A$1001,customers!$C$1:$C$1001,,0)=0,"Not _Provided",_xlfn.XLOOKUP(C949,customers!$A$1:$A$1001,customers!$C$1:$C$1001,,0))</f>
        <v>rfaltinqb@topsy.com</v>
      </c>
      <c r="H949" s="2" t="str">
        <f>_xlfn.XLOOKUP(C949,customers!$A$1:$A$1001,customers!$G$1:$G$1001,,0)</f>
        <v>Ireland</v>
      </c>
      <c r="I949" t="str">
        <f>INDEX(products!$B$1:$B$49,MATCH($D949,products!$A$1:$A$49,0))</f>
        <v>Ara</v>
      </c>
      <c r="J949" t="str">
        <f>INDEX(products!$C$1:$C$49,MATCH($D949,products!$A$1:$A$49,0))</f>
        <v>M</v>
      </c>
      <c r="K949" s="4">
        <f>INDEX(products!$D$1:$D$49,MATCH($D949,products!$A$1:$A$49,0))</f>
        <v>1</v>
      </c>
      <c r="L949" s="5">
        <f>INDEX(products!$E$1:$E$49,MATCH($D949,products!$A$1:$A$49,0))</f>
        <v>11.25</v>
      </c>
      <c r="M949" s="5">
        <f t="shared" si="14"/>
        <v>11.25</v>
      </c>
      <c r="N949" t="str" cm="1">
        <f t="array" ref="N949">_xlfn.IFS(I949="Rob","Robusta",I949="Exc","Excelsa",I949="Ara","Arabica",I949="Lib","Liberica")</f>
        <v>Arabica</v>
      </c>
      <c r="O949" t="str" cm="1">
        <f t="array" ref="O949">_xlfn.SWITCH($J949,"M","Medium","L","Light","D","Dark")</f>
        <v>Medium</v>
      </c>
      <c r="P949" t="str">
        <f>_xlfn.XLOOKUP(Table1[[#This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IF(_xlfn.XLOOKUP(C950,customers!$A$1:$A$1001,customers!$C$1:$C$1001,,0)=0,"Not _Provided",_xlfn.XLOOKUP(C950,customers!$A$1:$A$1001,customers!$C$1:$C$1001,,0))</f>
        <v>gcheekeqc@sitemeter.com</v>
      </c>
      <c r="H950" s="2" t="str">
        <f>_xlfn.XLOOKUP(C950,customers!$A$1:$A$1001,customers!$G$1:$G$1001,,0)</f>
        <v>United Kingdom</v>
      </c>
      <c r="I950" t="str">
        <f>INDEX(products!$B$1:$B$49,MATCH($D950,products!$A$1:$A$49,0))</f>
        <v>Exc</v>
      </c>
      <c r="J950" t="str">
        <f>INDEX(products!$C$1:$C$49,MATCH($D950,products!$A$1:$A$49,0))</f>
        <v>D</v>
      </c>
      <c r="K950" s="4">
        <f>INDEX(products!$D$1:$D$49,MATCH($D950,products!$A$1:$A$49,0))</f>
        <v>2.5</v>
      </c>
      <c r="L950" s="5">
        <f>INDEX(products!$E$1:$E$49,MATCH($D950,products!$A$1:$A$49,0))</f>
        <v>27.945</v>
      </c>
      <c r="M950" s="5">
        <f t="shared" si="14"/>
        <v>83.835000000000008</v>
      </c>
      <c r="N950" t="str" cm="1">
        <f t="array" ref="N950">_xlfn.IFS(I950="Rob","Robusta",I950="Exc","Excelsa",I950="Ara","Arabica",I950="Lib","Liberica")</f>
        <v>Excelsa</v>
      </c>
      <c r="O950" t="str" cm="1">
        <f t="array" ref="O950">_xlfn.SWITCH($J950,"M","Medium","L","Light","D","Dark")</f>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IF(_xlfn.XLOOKUP(C951,customers!$A$1:$A$1001,customers!$C$1:$C$1001,,0)=0,"Not _Provided",_xlfn.XLOOKUP(C951,customers!$A$1:$A$1001,customers!$C$1:$C$1001,,0))</f>
        <v>grattqd@phpbb.com</v>
      </c>
      <c r="H951" s="2" t="str">
        <f>_xlfn.XLOOKUP(C951,customers!$A$1:$A$1001,customers!$G$1:$G$1001,,0)</f>
        <v>Ireland</v>
      </c>
      <c r="I951" t="str">
        <f>INDEX(products!$B$1:$B$49,MATCH($D951,products!$A$1:$A$49,0))</f>
        <v>Rob</v>
      </c>
      <c r="J951" t="str">
        <f>INDEX(products!$C$1:$C$49,MATCH($D951,products!$A$1:$A$49,0))</f>
        <v>L</v>
      </c>
      <c r="K951" s="4">
        <f>INDEX(products!$D$1:$D$49,MATCH($D951,products!$A$1:$A$49,0))</f>
        <v>2.5</v>
      </c>
      <c r="L951" s="5">
        <f>INDEX(products!$E$1:$E$49,MATCH($D951,products!$A$1:$A$49,0))</f>
        <v>27.484999999999996</v>
      </c>
      <c r="M951" s="5">
        <f t="shared" si="14"/>
        <v>109.93999999999998</v>
      </c>
      <c r="N951" t="str" cm="1">
        <f t="array" ref="N951">_xlfn.IFS(I951="Rob","Robusta",I951="Exc","Excelsa",I951="Ara","Arabica",I951="Lib","Liberica")</f>
        <v>Robusta</v>
      </c>
      <c r="O951" t="str" cm="1">
        <f t="array" ref="O951">_xlfn.SWITCH($J951,"M","Medium","L","Light","D","Dark")</f>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IF(_xlfn.XLOOKUP(C952,customers!$A$1:$A$1001,customers!$C$1:$C$1001,,0)=0,"Not _Provided",_xlfn.XLOOKUP(C952,customers!$A$1:$A$1001,customers!$C$1:$C$1001,,0))</f>
        <v>Not _Provided</v>
      </c>
      <c r="H952" s="2" t="str">
        <f>_xlfn.XLOOKUP(C952,customers!$A$1:$A$1001,customers!$G$1:$G$1001,,0)</f>
        <v>United States</v>
      </c>
      <c r="I952" t="str">
        <f>INDEX(products!$B$1:$B$49,MATCH($D952,products!$A$1:$A$49,0))</f>
        <v>Rob</v>
      </c>
      <c r="J952" t="str">
        <f>INDEX(products!$C$1:$C$49,MATCH($D952,products!$A$1:$A$49,0))</f>
        <v>L</v>
      </c>
      <c r="K952" s="4">
        <f>INDEX(products!$D$1:$D$49,MATCH($D952,products!$A$1:$A$49,0))</f>
        <v>0.2</v>
      </c>
      <c r="L952" s="5">
        <f>INDEX(products!$E$1:$E$49,MATCH($D952,products!$A$1:$A$49,0))</f>
        <v>3.5849999999999995</v>
      </c>
      <c r="M952" s="5">
        <f t="shared" si="14"/>
        <v>14.339999999999998</v>
      </c>
      <c r="N952" t="str" cm="1">
        <f t="array" ref="N952">_xlfn.IFS(I952="Rob","Robusta",I952="Exc","Excelsa",I952="Ara","Arabica",I952="Lib","Liberica")</f>
        <v>Robusta</v>
      </c>
      <c r="O952" t="str" cm="1">
        <f t="array" ref="O952">_xlfn.SWITCH($J952,"M","Medium","L","Light","D","Dark")</f>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IF(_xlfn.XLOOKUP(C953,customers!$A$1:$A$1001,customers!$C$1:$C$1001,,0)=0,"Not _Provided",_xlfn.XLOOKUP(C953,customers!$A$1:$A$1001,customers!$C$1:$C$1001,,0))</f>
        <v>ieberleinqf@hc360.com</v>
      </c>
      <c r="H953" s="2" t="str">
        <f>_xlfn.XLOOKUP(C953,customers!$A$1:$A$1001,customers!$G$1:$G$1001,,0)</f>
        <v>United States</v>
      </c>
      <c r="I953" t="str">
        <f>INDEX(products!$B$1:$B$49,MATCH($D953,products!$A$1:$A$49,0))</f>
        <v>Rob</v>
      </c>
      <c r="J953" t="str">
        <f>INDEX(products!$C$1:$C$49,MATCH($D953,products!$A$1:$A$49,0))</f>
        <v>L</v>
      </c>
      <c r="K953" s="4">
        <f>INDEX(products!$D$1:$D$49,MATCH($D953,products!$A$1:$A$49,0))</f>
        <v>0.2</v>
      </c>
      <c r="L953" s="5">
        <f>INDEX(products!$E$1:$E$49,MATCH($D953,products!$A$1:$A$49,0))</f>
        <v>3.5849999999999995</v>
      </c>
      <c r="M953" s="5">
        <f t="shared" si="14"/>
        <v>21.509999999999998</v>
      </c>
      <c r="N953" t="str" cm="1">
        <f t="array" ref="N953">_xlfn.IFS(I953="Rob","Robusta",I953="Exc","Excelsa",I953="Ara","Arabica",I953="Lib","Liberica")</f>
        <v>Robusta</v>
      </c>
      <c r="O953" t="str" cm="1">
        <f t="array" ref="O953">_xlfn.SWITCH($J953,"M","Medium","L","Light","D","Dark")</f>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IF(_xlfn.XLOOKUP(C954,customers!$A$1:$A$1001,customers!$C$1:$C$1001,,0)=0,"Not _Provided",_xlfn.XLOOKUP(C954,customers!$A$1:$A$1001,customers!$C$1:$C$1001,,0))</f>
        <v>jdrengqg@uiuc.edu</v>
      </c>
      <c r="H954" s="2" t="str">
        <f>_xlfn.XLOOKUP(C954,customers!$A$1:$A$1001,customers!$G$1:$G$1001,,0)</f>
        <v>Ireland</v>
      </c>
      <c r="I954" t="str">
        <f>INDEX(products!$B$1:$B$49,MATCH($D954,products!$A$1:$A$49,0))</f>
        <v>Ara</v>
      </c>
      <c r="J954" t="str">
        <f>INDEX(products!$C$1:$C$49,MATCH($D954,products!$A$1:$A$49,0))</f>
        <v>M</v>
      </c>
      <c r="K954" s="4">
        <f>INDEX(products!$D$1:$D$49,MATCH($D954,products!$A$1:$A$49,0))</f>
        <v>1</v>
      </c>
      <c r="L954" s="5">
        <f>INDEX(products!$E$1:$E$49,MATCH($D954,products!$A$1:$A$49,0))</f>
        <v>11.25</v>
      </c>
      <c r="M954" s="5">
        <f t="shared" si="14"/>
        <v>22.5</v>
      </c>
      <c r="N954" t="str" cm="1">
        <f t="array" ref="N954">_xlfn.IFS(I954="Rob","Robusta",I954="Exc","Excelsa",I954="Ara","Arabica",I954="Lib","Liberica")</f>
        <v>Arabica</v>
      </c>
      <c r="O954" t="str" cm="1">
        <f t="array" ref="O954">_xlfn.SWITCH($J954,"M","Medium","L","Light","D","Dark")</f>
        <v>Medium</v>
      </c>
      <c r="P954" t="str">
        <f>_xlfn.XLOOKUP(Table1[[#This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IF(_xlfn.XLOOKUP(C955,customers!$A$1:$A$1001,customers!$C$1:$C$1001,,0)=0,"Not _Provided",_xlfn.XLOOKUP(C955,customers!$A$1:$A$1001,customers!$C$1:$C$1001,,0))</f>
        <v>Not _Provided</v>
      </c>
      <c r="H955" s="2" t="str">
        <f>_xlfn.XLOOKUP(C955,customers!$A$1:$A$1001,customers!$G$1:$G$1001,,0)</f>
        <v>United States</v>
      </c>
      <c r="I955" t="str">
        <f>INDEX(products!$B$1:$B$49,MATCH($D955,products!$A$1:$A$49,0))</f>
        <v>Ara</v>
      </c>
      <c r="J955" t="str">
        <f>INDEX(products!$C$1:$C$49,MATCH($D955,products!$A$1:$A$49,0))</f>
        <v>L</v>
      </c>
      <c r="K955" s="4">
        <f>INDEX(products!$D$1:$D$49,MATCH($D955,products!$A$1:$A$49,0))</f>
        <v>0.2</v>
      </c>
      <c r="L955" s="5">
        <f>INDEX(products!$E$1:$E$49,MATCH($D955,products!$A$1:$A$49,0))</f>
        <v>3.8849999999999998</v>
      </c>
      <c r="M955" s="5">
        <f t="shared" si="14"/>
        <v>3.8849999999999998</v>
      </c>
      <c r="N955" t="str" cm="1">
        <f t="array" ref="N955">_xlfn.IFS(I955="Rob","Robusta",I955="Exc","Excelsa",I955="Ara","Arabica",I955="Lib","Liberica")</f>
        <v>Arabica</v>
      </c>
      <c r="O955" t="str" cm="1">
        <f t="array" ref="O955">_xlfn.SWITCH($J955,"M","Medium","L","Light","D","Dark")</f>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IF(_xlfn.XLOOKUP(C956,customers!$A$1:$A$1001,customers!$C$1:$C$1001,,0)=0,"Not _Provided",_xlfn.XLOOKUP(C956,customers!$A$1:$A$1001,customers!$C$1:$C$1001,,0))</f>
        <v>Not _Provided</v>
      </c>
      <c r="H956" s="2" t="str">
        <f>_xlfn.XLOOKUP(C956,customers!$A$1:$A$1001,customers!$G$1:$G$1001,,0)</f>
        <v>United States</v>
      </c>
      <c r="I956" t="str">
        <f>INDEX(products!$B$1:$B$49,MATCH($D956,products!$A$1:$A$49,0))</f>
        <v>Exc</v>
      </c>
      <c r="J956" t="str">
        <f>INDEX(products!$C$1:$C$49,MATCH($D956,products!$A$1:$A$49,0))</f>
        <v>D</v>
      </c>
      <c r="K956" s="4">
        <f>INDEX(products!$D$1:$D$49,MATCH($D956,products!$A$1:$A$49,0))</f>
        <v>2.5</v>
      </c>
      <c r="L956" s="5">
        <f>INDEX(products!$E$1:$E$49,MATCH($D956,products!$A$1:$A$49,0))</f>
        <v>27.945</v>
      </c>
      <c r="M956" s="5">
        <f t="shared" si="14"/>
        <v>27.945</v>
      </c>
      <c r="N956" t="str" cm="1">
        <f t="array" ref="N956">_xlfn.IFS(I956="Rob","Robusta",I956="Exc","Excelsa",I956="Ara","Arabica",I956="Lib","Liberica")</f>
        <v>Excelsa</v>
      </c>
      <c r="O956" t="str" cm="1">
        <f t="array" ref="O956">_xlfn.SWITCH($J956,"M","Medium","L","Light","D","Dark")</f>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IF(_xlfn.XLOOKUP(C957,customers!$A$1:$A$1001,customers!$C$1:$C$1001,,0)=0,"Not _Provided",_xlfn.XLOOKUP(C957,customers!$A$1:$A$1001,customers!$C$1:$C$1001,,0))</f>
        <v>Not _Provided</v>
      </c>
      <c r="H957" s="2" t="str">
        <f>_xlfn.XLOOKUP(C957,customers!$A$1:$A$1001,customers!$G$1:$G$1001,,0)</f>
        <v>United States</v>
      </c>
      <c r="I957" t="str">
        <f>INDEX(products!$B$1:$B$49,MATCH($D957,products!$A$1:$A$49,0))</f>
        <v>Exc</v>
      </c>
      <c r="J957" t="str">
        <f>INDEX(products!$C$1:$C$49,MATCH($D957,products!$A$1:$A$49,0))</f>
        <v>L</v>
      </c>
      <c r="K957" s="4">
        <f>INDEX(products!$D$1:$D$49,MATCH($D957,products!$A$1:$A$49,0))</f>
        <v>2.5</v>
      </c>
      <c r="L957" s="5">
        <f>INDEX(products!$E$1:$E$49,MATCH($D957,products!$A$1:$A$49,0))</f>
        <v>34.154999999999994</v>
      </c>
      <c r="M957" s="5">
        <f t="shared" si="14"/>
        <v>170.77499999999998</v>
      </c>
      <c r="N957" t="str" cm="1">
        <f t="array" ref="N957">_xlfn.IFS(I957="Rob","Robusta",I957="Exc","Excelsa",I957="Ara","Arabica",I957="Lib","Liberica")</f>
        <v>Excelsa</v>
      </c>
      <c r="O957" t="str" cm="1">
        <f t="array" ref="O957">_xlfn.SWITCH($J957,"M","Medium","L","Light","D","Dark")</f>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IF(_xlfn.XLOOKUP(C958,customers!$A$1:$A$1001,customers!$C$1:$C$1001,,0)=0,"Not _Provided",_xlfn.XLOOKUP(C958,customers!$A$1:$A$1001,customers!$C$1:$C$1001,,0))</f>
        <v>Not _Provided</v>
      </c>
      <c r="H958" s="2" t="str">
        <f>_xlfn.XLOOKUP(C958,customers!$A$1:$A$1001,customers!$G$1:$G$1001,,0)</f>
        <v>United States</v>
      </c>
      <c r="I958" t="str">
        <f>INDEX(products!$B$1:$B$49,MATCH($D958,products!$A$1:$A$49,0))</f>
        <v>Rob</v>
      </c>
      <c r="J958" t="str">
        <f>INDEX(products!$C$1:$C$49,MATCH($D958,products!$A$1:$A$49,0))</f>
        <v>L</v>
      </c>
      <c r="K958" s="4">
        <f>INDEX(products!$D$1:$D$49,MATCH($D958,products!$A$1:$A$49,0))</f>
        <v>2.5</v>
      </c>
      <c r="L958" s="5">
        <f>INDEX(products!$E$1:$E$49,MATCH($D958,products!$A$1:$A$49,0))</f>
        <v>27.484999999999996</v>
      </c>
      <c r="M958" s="5">
        <f t="shared" si="14"/>
        <v>54.969999999999992</v>
      </c>
      <c r="N958" t="str" cm="1">
        <f t="array" ref="N958">_xlfn.IFS(I958="Rob","Robusta",I958="Exc","Excelsa",I958="Ara","Arabica",I958="Lib","Liberica")</f>
        <v>Robusta</v>
      </c>
      <c r="O958" t="str" cm="1">
        <f t="array" ref="O958">_xlfn.SWITCH($J958,"M","Medium","L","Light","D","Dark")</f>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IF(_xlfn.XLOOKUP(C959,customers!$A$1:$A$1001,customers!$C$1:$C$1001,,0)=0,"Not _Provided",_xlfn.XLOOKUP(C959,customers!$A$1:$A$1001,customers!$C$1:$C$1001,,0))</f>
        <v>Not _Provided</v>
      </c>
      <c r="H959" s="2" t="str">
        <f>_xlfn.XLOOKUP(C959,customers!$A$1:$A$1001,customers!$G$1:$G$1001,,0)</f>
        <v>United States</v>
      </c>
      <c r="I959" t="str">
        <f>INDEX(products!$B$1:$B$49,MATCH($D959,products!$A$1:$A$49,0))</f>
        <v>Exc</v>
      </c>
      <c r="J959" t="str">
        <f>INDEX(products!$C$1:$C$49,MATCH($D959,products!$A$1:$A$49,0))</f>
        <v>L</v>
      </c>
      <c r="K959" s="4">
        <f>INDEX(products!$D$1:$D$49,MATCH($D959,products!$A$1:$A$49,0))</f>
        <v>1</v>
      </c>
      <c r="L959" s="5">
        <f>INDEX(products!$E$1:$E$49,MATCH($D959,products!$A$1:$A$49,0))</f>
        <v>14.85</v>
      </c>
      <c r="M959" s="5">
        <f t="shared" si="14"/>
        <v>14.85</v>
      </c>
      <c r="N959" t="str" cm="1">
        <f t="array" ref="N959">_xlfn.IFS(I959="Rob","Robusta",I959="Exc","Excelsa",I959="Ara","Arabica",I959="Lib","Liberica")</f>
        <v>Excelsa</v>
      </c>
      <c r="O959" t="str" cm="1">
        <f t="array" ref="O959">_xlfn.SWITCH($J959,"M","Medium","L","Light","D","Dark")</f>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IF(_xlfn.XLOOKUP(C960,customers!$A$1:$A$1001,customers!$C$1:$C$1001,,0)=0,"Not _Provided",_xlfn.XLOOKUP(C960,customers!$A$1:$A$1001,customers!$C$1:$C$1001,,0))</f>
        <v>Not _Provided</v>
      </c>
      <c r="H960" s="2" t="str">
        <f>_xlfn.XLOOKUP(C960,customers!$A$1:$A$1001,customers!$G$1:$G$1001,,0)</f>
        <v>United States</v>
      </c>
      <c r="I960" t="str">
        <f>INDEX(products!$B$1:$B$49,MATCH($D960,products!$A$1:$A$49,0))</f>
        <v>Ara</v>
      </c>
      <c r="J960" t="str">
        <f>INDEX(products!$C$1:$C$49,MATCH($D960,products!$A$1:$A$49,0))</f>
        <v>L</v>
      </c>
      <c r="K960" s="4">
        <f>INDEX(products!$D$1:$D$49,MATCH($D960,products!$A$1:$A$49,0))</f>
        <v>0.2</v>
      </c>
      <c r="L960" s="5">
        <f>INDEX(products!$E$1:$E$49,MATCH($D960,products!$A$1:$A$49,0))</f>
        <v>3.8849999999999998</v>
      </c>
      <c r="M960" s="5">
        <f t="shared" si="14"/>
        <v>7.77</v>
      </c>
      <c r="N960" t="str" cm="1">
        <f t="array" ref="N960">_xlfn.IFS(I960="Rob","Robusta",I960="Exc","Excelsa",I960="Ara","Arabica",I960="Lib","Liberica")</f>
        <v>Arabica</v>
      </c>
      <c r="O960" t="str" cm="1">
        <f t="array" ref="O960">_xlfn.SWITCH($J960,"M","Medium","L","Light","D","Dark")</f>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IF(_xlfn.XLOOKUP(C961,customers!$A$1:$A$1001,customers!$C$1:$C$1001,,0)=0,"Not _Provided",_xlfn.XLOOKUP(C961,customers!$A$1:$A$1001,customers!$C$1:$C$1001,,0))</f>
        <v>rstrathernqn@devhub.com</v>
      </c>
      <c r="H961" s="2" t="str">
        <f>_xlfn.XLOOKUP(C961,customers!$A$1:$A$1001,customers!$G$1:$G$1001,,0)</f>
        <v>United States</v>
      </c>
      <c r="I961" t="str">
        <f>INDEX(products!$B$1:$B$49,MATCH($D961,products!$A$1:$A$49,0))</f>
        <v>Lib</v>
      </c>
      <c r="J961" t="str">
        <f>INDEX(products!$C$1:$C$49,MATCH($D961,products!$A$1:$A$49,0))</f>
        <v>L</v>
      </c>
      <c r="K961" s="4">
        <f>INDEX(products!$D$1:$D$49,MATCH($D961,products!$A$1:$A$49,0))</f>
        <v>0.2</v>
      </c>
      <c r="L961" s="5">
        <f>INDEX(products!$E$1:$E$49,MATCH($D961,products!$A$1:$A$49,0))</f>
        <v>4.7549999999999999</v>
      </c>
      <c r="M961" s="5">
        <f t="shared" si="14"/>
        <v>23.774999999999999</v>
      </c>
      <c r="N961" t="str" cm="1">
        <f t="array" ref="N961">_xlfn.IFS(I961="Rob","Robusta",I961="Exc","Excelsa",I961="Ara","Arabica",I961="Lib","Liberica")</f>
        <v>Liberica</v>
      </c>
      <c r="O961" t="str" cm="1">
        <f t="array" ref="O961">_xlfn.SWITCH($J961,"M","Medium","L","Light","D","Dark")</f>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IF(_xlfn.XLOOKUP(C962,customers!$A$1:$A$1001,customers!$C$1:$C$1001,,0)=0,"Not _Provided",_xlfn.XLOOKUP(C962,customers!$A$1:$A$1001,customers!$C$1:$C$1001,,0))</f>
        <v>cmiguelqo@exblog.jp</v>
      </c>
      <c r="H962" s="2" t="str">
        <f>_xlfn.XLOOKUP(C962,customers!$A$1:$A$1001,customers!$G$1:$G$1001,,0)</f>
        <v>United States</v>
      </c>
      <c r="I962" t="str">
        <f>INDEX(products!$B$1:$B$49,MATCH($D962,products!$A$1:$A$49,0))</f>
        <v>Lib</v>
      </c>
      <c r="J962" t="str">
        <f>INDEX(products!$C$1:$C$49,MATCH($D962,products!$A$1:$A$49,0))</f>
        <v>L</v>
      </c>
      <c r="K962" s="4">
        <f>INDEX(products!$D$1:$D$49,MATCH($D962,products!$A$1:$A$49,0))</f>
        <v>1</v>
      </c>
      <c r="L962" s="5">
        <f>INDEX(products!$E$1:$E$49,MATCH($D962,products!$A$1:$A$49,0))</f>
        <v>15.85</v>
      </c>
      <c r="M962" s="5">
        <f t="shared" si="14"/>
        <v>79.25</v>
      </c>
      <c r="N962" t="str" cm="1">
        <f t="array" ref="N962">_xlfn.IFS(I962="Rob","Robusta",I962="Exc","Excelsa",I962="Ara","Arabica",I962="Lib","Liberica")</f>
        <v>Liberica</v>
      </c>
      <c r="O962" t="str" cm="1">
        <f t="array" ref="O962">_xlfn.SWITCH($J962,"M","Medium","L","Light","D","Dark")</f>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IF(_xlfn.XLOOKUP(C963,customers!$A$1:$A$1001,customers!$C$1:$C$1001,,0)=0,"Not _Provided",_xlfn.XLOOKUP(C963,customers!$A$1:$A$1001,customers!$C$1:$C$1001,,0))</f>
        <v>Not _Provided</v>
      </c>
      <c r="H963" s="2" t="str">
        <f>_xlfn.XLOOKUP(C963,customers!$A$1:$A$1001,customers!$G$1:$G$1001,,0)</f>
        <v>United States</v>
      </c>
      <c r="I963" t="str">
        <f>INDEX(products!$B$1:$B$49,MATCH($D963,products!$A$1:$A$49,0))</f>
        <v>Ara</v>
      </c>
      <c r="J963" t="str">
        <f>INDEX(products!$C$1:$C$49,MATCH($D963,products!$A$1:$A$49,0))</f>
        <v>D</v>
      </c>
      <c r="K963" s="4">
        <f>INDEX(products!$D$1:$D$49,MATCH($D963,products!$A$1:$A$49,0))</f>
        <v>2.5</v>
      </c>
      <c r="L963" s="5">
        <f>INDEX(products!$E$1:$E$49,MATCH($D963,products!$A$1:$A$49,0))</f>
        <v>22.884999999999998</v>
      </c>
      <c r="M963" s="5">
        <f t="shared" ref="M963:M1001" si="15">E963*L963</f>
        <v>45.769999999999996</v>
      </c>
      <c r="N963" t="str" cm="1">
        <f t="array" ref="N963">_xlfn.IFS(I963="Rob","Robusta",I963="Exc","Excelsa",I963="Ara","Arabica",I963="Lib","Liberica")</f>
        <v>Arabica</v>
      </c>
      <c r="O963" t="str" cm="1">
        <f t="array" ref="O963">_xlfn.SWITCH($J963,"M","Medium","L","Light","D","Dark")</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IF(_xlfn.XLOOKUP(C964,customers!$A$1:$A$1001,customers!$C$1:$C$1001,,0)=0,"Not _Provided",_xlfn.XLOOKUP(C964,customers!$A$1:$A$1001,customers!$C$1:$C$1001,,0))</f>
        <v>mrocksqq@exblog.jp</v>
      </c>
      <c r="H964" s="2" t="str">
        <f>_xlfn.XLOOKUP(C964,customers!$A$1:$A$1001,customers!$G$1:$G$1001,,0)</f>
        <v>Ireland</v>
      </c>
      <c r="I964" t="str">
        <f>INDEX(products!$B$1:$B$49,MATCH($D964,products!$A$1:$A$49,0))</f>
        <v>Rob</v>
      </c>
      <c r="J964" t="str">
        <f>INDEX(products!$C$1:$C$49,MATCH($D964,products!$A$1:$A$49,0))</f>
        <v>D</v>
      </c>
      <c r="K964" s="4">
        <f>INDEX(products!$D$1:$D$49,MATCH($D964,products!$A$1:$A$49,0))</f>
        <v>1</v>
      </c>
      <c r="L964" s="5">
        <f>INDEX(products!$E$1:$E$49,MATCH($D964,products!$A$1:$A$49,0))</f>
        <v>8.9499999999999993</v>
      </c>
      <c r="M964" s="5">
        <f t="shared" si="15"/>
        <v>8.9499999999999993</v>
      </c>
      <c r="N964" t="str" cm="1">
        <f t="array" ref="N964">_xlfn.IFS(I964="Rob","Robusta",I964="Exc","Excelsa",I964="Ara","Arabica",I964="Lib","Liberica")</f>
        <v>Robusta</v>
      </c>
      <c r="O964" t="str" cm="1">
        <f t="array" ref="O964">_xlfn.SWITCH($J964,"M","Medium","L","Light","D","Dark")</f>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IF(_xlfn.XLOOKUP(C965,customers!$A$1:$A$1001,customers!$C$1:$C$1001,,0)=0,"Not _Provided",_xlfn.XLOOKUP(C965,customers!$A$1:$A$1001,customers!$C$1:$C$1001,,0))</f>
        <v>yburrellsqr@vinaora.com</v>
      </c>
      <c r="H965" s="2" t="str">
        <f>_xlfn.XLOOKUP(C965,customers!$A$1:$A$1001,customers!$G$1:$G$1001,,0)</f>
        <v>United States</v>
      </c>
      <c r="I965" t="str">
        <f>INDEX(products!$B$1:$B$49,MATCH($D965,products!$A$1:$A$49,0))</f>
        <v>Rob</v>
      </c>
      <c r="J965" t="str">
        <f>INDEX(products!$C$1:$C$49,MATCH($D965,products!$A$1:$A$49,0))</f>
        <v>M</v>
      </c>
      <c r="K965" s="4">
        <f>INDEX(products!$D$1:$D$49,MATCH($D965,products!$A$1:$A$49,0))</f>
        <v>0.5</v>
      </c>
      <c r="L965" s="5">
        <f>INDEX(products!$E$1:$E$49,MATCH($D965,products!$A$1:$A$49,0))</f>
        <v>5.97</v>
      </c>
      <c r="M965" s="5">
        <f t="shared" si="15"/>
        <v>23.88</v>
      </c>
      <c r="N965" t="str" cm="1">
        <f t="array" ref="N965">_xlfn.IFS(I965="Rob","Robusta",I965="Exc","Excelsa",I965="Ara","Arabica",I965="Lib","Liberica")</f>
        <v>Robusta</v>
      </c>
      <c r="O965" t="str" cm="1">
        <f t="array" ref="O965">_xlfn.SWITCH($J965,"M","Medium","L","Light","D","Dark")</f>
        <v>Medium</v>
      </c>
      <c r="P965" t="str">
        <f>_xlfn.XLOOKUP(Table1[[#This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IF(_xlfn.XLOOKUP(C966,customers!$A$1:$A$1001,customers!$C$1:$C$1001,,0)=0,"Not _Provided",_xlfn.XLOOKUP(C966,customers!$A$1:$A$1001,customers!$C$1:$C$1001,,0))</f>
        <v>cgoodrumqs@goodreads.com</v>
      </c>
      <c r="H966" s="2" t="str">
        <f>_xlfn.XLOOKUP(C966,customers!$A$1:$A$1001,customers!$G$1:$G$1001,,0)</f>
        <v>United States</v>
      </c>
      <c r="I966" t="str">
        <f>INDEX(products!$B$1:$B$49,MATCH($D966,products!$A$1:$A$49,0))</f>
        <v>Exc</v>
      </c>
      <c r="J966" t="str">
        <f>INDEX(products!$C$1:$C$49,MATCH($D966,products!$A$1:$A$49,0))</f>
        <v>L</v>
      </c>
      <c r="K966" s="4">
        <f>INDEX(products!$D$1:$D$49,MATCH($D966,products!$A$1:$A$49,0))</f>
        <v>0.2</v>
      </c>
      <c r="L966" s="5">
        <f>INDEX(products!$E$1:$E$49,MATCH($D966,products!$A$1:$A$49,0))</f>
        <v>4.4550000000000001</v>
      </c>
      <c r="M966" s="5">
        <f t="shared" si="15"/>
        <v>22.274999999999999</v>
      </c>
      <c r="N966" t="str" cm="1">
        <f t="array" ref="N966">_xlfn.IFS(I966="Rob","Robusta",I966="Exc","Excelsa",I966="Ara","Arabica",I966="Lib","Liberica")</f>
        <v>Excelsa</v>
      </c>
      <c r="O966" t="str" cm="1">
        <f t="array" ref="O966">_xlfn.SWITCH($J966,"M","Medium","L","Light","D","Dark")</f>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IF(_xlfn.XLOOKUP(C967,customers!$A$1:$A$1001,customers!$C$1:$C$1001,,0)=0,"Not _Provided",_xlfn.XLOOKUP(C967,customers!$A$1:$A$1001,customers!$C$1:$C$1001,,0))</f>
        <v>jjefferysqt@blog.com</v>
      </c>
      <c r="H967" s="2" t="str">
        <f>_xlfn.XLOOKUP(C967,customers!$A$1:$A$1001,customers!$G$1:$G$1001,,0)</f>
        <v>United States</v>
      </c>
      <c r="I967" t="str">
        <f>INDEX(products!$B$1:$B$49,MATCH($D967,products!$A$1:$A$49,0))</f>
        <v>Rob</v>
      </c>
      <c r="J967" t="str">
        <f>INDEX(products!$C$1:$C$49,MATCH($D967,products!$A$1:$A$49,0))</f>
        <v>M</v>
      </c>
      <c r="K967" s="4">
        <f>INDEX(products!$D$1:$D$49,MATCH($D967,products!$A$1:$A$49,0))</f>
        <v>1</v>
      </c>
      <c r="L967" s="5">
        <f>INDEX(products!$E$1:$E$49,MATCH($D967,products!$A$1:$A$49,0))</f>
        <v>9.9499999999999993</v>
      </c>
      <c r="M967" s="5">
        <f t="shared" si="15"/>
        <v>29.849999999999998</v>
      </c>
      <c r="N967" t="str" cm="1">
        <f t="array" ref="N967">_xlfn.IFS(I967="Rob","Robusta",I967="Exc","Excelsa",I967="Ara","Arabica",I967="Lib","Liberica")</f>
        <v>Robusta</v>
      </c>
      <c r="O967" t="str" cm="1">
        <f t="array" ref="O967">_xlfn.SWITCH($J967,"M","Medium","L","Light","D","Dark")</f>
        <v>Medium</v>
      </c>
      <c r="P967" t="str">
        <f>_xlfn.XLOOKUP(Table1[[#This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IF(_xlfn.XLOOKUP(C968,customers!$A$1:$A$1001,customers!$C$1:$C$1001,,0)=0,"Not _Provided",_xlfn.XLOOKUP(C968,customers!$A$1:$A$1001,customers!$C$1:$C$1001,,0))</f>
        <v>bwardellqu@adobe.com</v>
      </c>
      <c r="H968" s="2" t="str">
        <f>_xlfn.XLOOKUP(C968,customers!$A$1:$A$1001,customers!$G$1:$G$1001,,0)</f>
        <v>United States</v>
      </c>
      <c r="I968" t="str">
        <f>INDEX(products!$B$1:$B$49,MATCH($D968,products!$A$1:$A$49,0))</f>
        <v>Exc</v>
      </c>
      <c r="J968" t="str">
        <f>INDEX(products!$C$1:$C$49,MATCH($D968,products!$A$1:$A$49,0))</f>
        <v>L</v>
      </c>
      <c r="K968" s="4">
        <f>INDEX(products!$D$1:$D$49,MATCH($D968,products!$A$1:$A$49,0))</f>
        <v>0.5</v>
      </c>
      <c r="L968" s="5">
        <f>INDEX(products!$E$1:$E$49,MATCH($D968,products!$A$1:$A$49,0))</f>
        <v>8.91</v>
      </c>
      <c r="M968" s="5">
        <f t="shared" si="15"/>
        <v>53.46</v>
      </c>
      <c r="N968" t="str" cm="1">
        <f t="array" ref="N968">_xlfn.IFS(I968="Rob","Robusta",I968="Exc","Excelsa",I968="Ara","Arabica",I968="Lib","Liberica")</f>
        <v>Excelsa</v>
      </c>
      <c r="O968" t="str" cm="1">
        <f t="array" ref="O968">_xlfn.SWITCH($J968,"M","Medium","L","Light","D","Dark")</f>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IF(_xlfn.XLOOKUP(C969,customers!$A$1:$A$1001,customers!$C$1:$C$1001,,0)=0,"Not _Provided",_xlfn.XLOOKUP(C969,customers!$A$1:$A$1001,customers!$C$1:$C$1001,,0))</f>
        <v>zwalisiakqv@ucsd.edu</v>
      </c>
      <c r="H969" s="2" t="str">
        <f>_xlfn.XLOOKUP(C969,customers!$A$1:$A$1001,customers!$G$1:$G$1001,,0)</f>
        <v>Ireland</v>
      </c>
      <c r="I969" t="str">
        <f>INDEX(products!$B$1:$B$49,MATCH($D969,products!$A$1:$A$49,0))</f>
        <v>Rob</v>
      </c>
      <c r="J969" t="str">
        <f>INDEX(products!$C$1:$C$49,MATCH($D969,products!$A$1:$A$49,0))</f>
        <v>D</v>
      </c>
      <c r="K969" s="4">
        <f>INDEX(products!$D$1:$D$49,MATCH($D969,products!$A$1:$A$49,0))</f>
        <v>0.2</v>
      </c>
      <c r="L969" s="5">
        <f>INDEX(products!$E$1:$E$49,MATCH($D969,products!$A$1:$A$49,0))</f>
        <v>2.6849999999999996</v>
      </c>
      <c r="M969" s="5">
        <f t="shared" si="15"/>
        <v>2.6849999999999996</v>
      </c>
      <c r="N969" t="str" cm="1">
        <f t="array" ref="N969">_xlfn.IFS(I969="Rob","Robusta",I969="Exc","Excelsa",I969="Ara","Arabica",I969="Lib","Liberica")</f>
        <v>Robusta</v>
      </c>
      <c r="O969" t="str" cm="1">
        <f t="array" ref="O969">_xlfn.SWITCH($J969,"M","Medium","L","Light","D","Dark")</f>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IF(_xlfn.XLOOKUP(C970,customers!$A$1:$A$1001,customers!$C$1:$C$1001,,0)=0,"Not _Provided",_xlfn.XLOOKUP(C970,customers!$A$1:$A$1001,customers!$C$1:$C$1001,,0))</f>
        <v>wleopoldqw@blogspot.com</v>
      </c>
      <c r="H970" s="2" t="str">
        <f>_xlfn.XLOOKUP(C970,customers!$A$1:$A$1001,customers!$G$1:$G$1001,,0)</f>
        <v>United States</v>
      </c>
      <c r="I970" t="str">
        <f>INDEX(products!$B$1:$B$49,MATCH($D970,products!$A$1:$A$49,0))</f>
        <v>Rob</v>
      </c>
      <c r="J970" t="str">
        <f>INDEX(products!$C$1:$C$49,MATCH($D970,products!$A$1:$A$49,0))</f>
        <v>M</v>
      </c>
      <c r="K970" s="4">
        <f>INDEX(products!$D$1:$D$49,MATCH($D970,products!$A$1:$A$49,0))</f>
        <v>0.2</v>
      </c>
      <c r="L970" s="5">
        <f>INDEX(products!$E$1:$E$49,MATCH($D970,products!$A$1:$A$49,0))</f>
        <v>2.9849999999999999</v>
      </c>
      <c r="M970" s="5">
        <f t="shared" si="15"/>
        <v>5.97</v>
      </c>
      <c r="N970" t="str" cm="1">
        <f t="array" ref="N970">_xlfn.IFS(I970="Rob","Robusta",I970="Exc","Excelsa",I970="Ara","Arabica",I970="Lib","Liberica")</f>
        <v>Robusta</v>
      </c>
      <c r="O970" t="str" cm="1">
        <f t="array" ref="O970">_xlfn.SWITCH($J970,"M","Medium","L","Light","D","Dark")</f>
        <v>Medium</v>
      </c>
      <c r="P970" t="str">
        <f>_xlfn.XLOOKUP(Table1[[#This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IF(_xlfn.XLOOKUP(C971,customers!$A$1:$A$1001,customers!$C$1:$C$1001,,0)=0,"Not _Provided",_xlfn.XLOOKUP(C971,customers!$A$1:$A$1001,customers!$C$1:$C$1001,,0))</f>
        <v>cshaldersqx@cisco.com</v>
      </c>
      <c r="H971" s="2" t="str">
        <f>_xlfn.XLOOKUP(C971,customers!$A$1:$A$1001,customers!$G$1:$G$1001,,0)</f>
        <v>United States</v>
      </c>
      <c r="I971" t="str">
        <f>INDEX(products!$B$1:$B$49,MATCH($D971,products!$A$1:$A$49,0))</f>
        <v>Lib</v>
      </c>
      <c r="J971" t="str">
        <f>INDEX(products!$C$1:$C$49,MATCH($D971,products!$A$1:$A$49,0))</f>
        <v>D</v>
      </c>
      <c r="K971" s="4">
        <f>INDEX(products!$D$1:$D$49,MATCH($D971,products!$A$1:$A$49,0))</f>
        <v>1</v>
      </c>
      <c r="L971" s="5">
        <f>INDEX(products!$E$1:$E$49,MATCH($D971,products!$A$1:$A$49,0))</f>
        <v>12.95</v>
      </c>
      <c r="M971" s="5">
        <f t="shared" si="15"/>
        <v>12.95</v>
      </c>
      <c r="N971" t="str" cm="1">
        <f t="array" ref="N971">_xlfn.IFS(I971="Rob","Robusta",I971="Exc","Excelsa",I971="Ara","Arabica",I971="Lib","Liberica")</f>
        <v>Liberica</v>
      </c>
      <c r="O971" t="str" cm="1">
        <f t="array" ref="O971">_xlfn.SWITCH($J971,"M","Medium","L","Light","D","Dark")</f>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IF(_xlfn.XLOOKUP(C972,customers!$A$1:$A$1001,customers!$C$1:$C$1001,,0)=0,"Not _Provided",_xlfn.XLOOKUP(C972,customers!$A$1:$A$1001,customers!$C$1:$C$1001,,0))</f>
        <v>Not _Provided</v>
      </c>
      <c r="H972" s="2" t="str">
        <f>_xlfn.XLOOKUP(C972,customers!$A$1:$A$1001,customers!$G$1:$G$1001,,0)</f>
        <v>United States</v>
      </c>
      <c r="I972" t="str">
        <f>INDEX(products!$B$1:$B$49,MATCH($D972,products!$A$1:$A$49,0))</f>
        <v>Exc</v>
      </c>
      <c r="J972" t="str">
        <f>INDEX(products!$C$1:$C$49,MATCH($D972,products!$A$1:$A$49,0))</f>
        <v>M</v>
      </c>
      <c r="K972" s="4">
        <f>INDEX(products!$D$1:$D$49,MATCH($D972,products!$A$1:$A$49,0))</f>
        <v>0.5</v>
      </c>
      <c r="L972" s="5">
        <f>INDEX(products!$E$1:$E$49,MATCH($D972,products!$A$1:$A$49,0))</f>
        <v>8.25</v>
      </c>
      <c r="M972" s="5">
        <f t="shared" si="15"/>
        <v>8.25</v>
      </c>
      <c r="N972" t="str" cm="1">
        <f t="array" ref="N972">_xlfn.IFS(I972="Rob","Robusta",I972="Exc","Excelsa",I972="Ara","Arabica",I972="Lib","Liberica")</f>
        <v>Excelsa</v>
      </c>
      <c r="O972" t="str" cm="1">
        <f t="array" ref="O972">_xlfn.SWITCH($J972,"M","Medium","L","Light","D","Dark")</f>
        <v>Medium</v>
      </c>
      <c r="P972" t="str">
        <f>_xlfn.XLOOKUP(Table1[[#This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IF(_xlfn.XLOOKUP(C973,customers!$A$1:$A$1001,customers!$C$1:$C$1001,,0)=0,"Not _Provided",_xlfn.XLOOKUP(C973,customers!$A$1:$A$1001,customers!$C$1:$C$1001,,0))</f>
        <v>nfurberqz@jugem.jp</v>
      </c>
      <c r="H973" s="2" t="str">
        <f>_xlfn.XLOOKUP(C973,customers!$A$1:$A$1001,customers!$G$1:$G$1001,,0)</f>
        <v>United States</v>
      </c>
      <c r="I973" t="str">
        <f>INDEX(products!$B$1:$B$49,MATCH($D973,products!$A$1:$A$49,0))</f>
        <v>Ara</v>
      </c>
      <c r="J973" t="str">
        <f>INDEX(products!$C$1:$C$49,MATCH($D973,products!$A$1:$A$49,0))</f>
        <v>L</v>
      </c>
      <c r="K973" s="4">
        <f>INDEX(products!$D$1:$D$49,MATCH($D973,products!$A$1:$A$49,0))</f>
        <v>2.5</v>
      </c>
      <c r="L973" s="5">
        <f>INDEX(products!$E$1:$E$49,MATCH($D973,products!$A$1:$A$49,0))</f>
        <v>29.784999999999997</v>
      </c>
      <c r="M973" s="5">
        <f t="shared" si="15"/>
        <v>148.92499999999998</v>
      </c>
      <c r="N973" t="str" cm="1">
        <f t="array" ref="N973">_xlfn.IFS(I973="Rob","Robusta",I973="Exc","Excelsa",I973="Ara","Arabica",I973="Lib","Liberica")</f>
        <v>Arabica</v>
      </c>
      <c r="O973" t="str" cm="1">
        <f t="array" ref="O973">_xlfn.SWITCH($J973,"M","Medium","L","Light","D","Dark")</f>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IF(_xlfn.XLOOKUP(C974,customers!$A$1:$A$1001,customers!$C$1:$C$1001,,0)=0,"Not _Provided",_xlfn.XLOOKUP(C974,customers!$A$1:$A$1001,customers!$C$1:$C$1001,,0))</f>
        <v>Not _Provided</v>
      </c>
      <c r="H974" s="2" t="str">
        <f>_xlfn.XLOOKUP(C974,customers!$A$1:$A$1001,customers!$G$1:$G$1001,,0)</f>
        <v>Ireland</v>
      </c>
      <c r="I974" t="str">
        <f>INDEX(products!$B$1:$B$49,MATCH($D974,products!$A$1:$A$49,0))</f>
        <v>Ara</v>
      </c>
      <c r="J974" t="str">
        <f>INDEX(products!$C$1:$C$49,MATCH($D974,products!$A$1:$A$49,0))</f>
        <v>L</v>
      </c>
      <c r="K974" s="4">
        <f>INDEX(products!$D$1:$D$49,MATCH($D974,products!$A$1:$A$49,0))</f>
        <v>2.5</v>
      </c>
      <c r="L974" s="5">
        <f>INDEX(products!$E$1:$E$49,MATCH($D974,products!$A$1:$A$49,0))</f>
        <v>29.784999999999997</v>
      </c>
      <c r="M974" s="5">
        <f t="shared" si="15"/>
        <v>89.35499999999999</v>
      </c>
      <c r="N974" t="str" cm="1">
        <f t="array" ref="N974">_xlfn.IFS(I974="Rob","Robusta",I974="Exc","Excelsa",I974="Ara","Arabica",I974="Lib","Liberica")</f>
        <v>Arabica</v>
      </c>
      <c r="O974" t="str" cm="1">
        <f t="array" ref="O974">_xlfn.SWITCH($J974,"M","Medium","L","Light","D","Dark")</f>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IF(_xlfn.XLOOKUP(C975,customers!$A$1:$A$1001,customers!$C$1:$C$1001,,0)=0,"Not _Provided",_xlfn.XLOOKUP(C975,customers!$A$1:$A$1001,customers!$C$1:$C$1001,,0))</f>
        <v>ckeaver1@ucoz.com</v>
      </c>
      <c r="H975" s="2" t="str">
        <f>_xlfn.XLOOKUP(C975,customers!$A$1:$A$1001,customers!$G$1:$G$1001,,0)</f>
        <v>United States</v>
      </c>
      <c r="I975" t="str">
        <f>INDEX(products!$B$1:$B$49,MATCH($D975,products!$A$1:$A$49,0))</f>
        <v>Lib</v>
      </c>
      <c r="J975" t="str">
        <f>INDEX(products!$C$1:$C$49,MATCH($D975,products!$A$1:$A$49,0))</f>
        <v>M</v>
      </c>
      <c r="K975" s="4">
        <f>INDEX(products!$D$1:$D$49,MATCH($D975,products!$A$1:$A$49,0))</f>
        <v>1</v>
      </c>
      <c r="L975" s="5">
        <f>INDEX(products!$E$1:$E$49,MATCH($D975,products!$A$1:$A$49,0))</f>
        <v>14.55</v>
      </c>
      <c r="M975" s="5">
        <f t="shared" si="15"/>
        <v>87.300000000000011</v>
      </c>
      <c r="N975" t="str" cm="1">
        <f t="array" ref="N975">_xlfn.IFS(I975="Rob","Robusta",I975="Exc","Excelsa",I975="Ara","Arabica",I975="Lib","Liberica")</f>
        <v>Liberica</v>
      </c>
      <c r="O975" t="str" cm="1">
        <f t="array" ref="O975">_xlfn.SWITCH($J975,"M","Medium","L","Light","D","Dark")</f>
        <v>Medium</v>
      </c>
      <c r="P975" t="str">
        <f>_xlfn.XLOOKUP(Table1[[#This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IF(_xlfn.XLOOKUP(C976,customers!$A$1:$A$1001,customers!$C$1:$C$1001,,0)=0,"Not _Provided",_xlfn.XLOOKUP(C976,customers!$A$1:$A$1001,customers!$C$1:$C$1001,,0))</f>
        <v>sroseboroughr2@virginia.edu</v>
      </c>
      <c r="H976" s="2" t="str">
        <f>_xlfn.XLOOKUP(C976,customers!$A$1:$A$1001,customers!$G$1:$G$1001,,0)</f>
        <v>United States</v>
      </c>
      <c r="I976" t="str">
        <f>INDEX(products!$B$1:$B$49,MATCH($D976,products!$A$1:$A$49,0))</f>
        <v>Rob</v>
      </c>
      <c r="J976" t="str">
        <f>INDEX(products!$C$1:$C$49,MATCH($D976,products!$A$1:$A$49,0))</f>
        <v>D</v>
      </c>
      <c r="K976" s="4">
        <f>INDEX(products!$D$1:$D$49,MATCH($D976,products!$A$1:$A$49,0))</f>
        <v>0.5</v>
      </c>
      <c r="L976" s="5">
        <f>INDEX(products!$E$1:$E$49,MATCH($D976,products!$A$1:$A$49,0))</f>
        <v>5.3699999999999992</v>
      </c>
      <c r="M976" s="5">
        <f t="shared" si="15"/>
        <v>5.3699999999999992</v>
      </c>
      <c r="N976" t="str" cm="1">
        <f t="array" ref="N976">_xlfn.IFS(I976="Rob","Robusta",I976="Exc","Excelsa",I976="Ara","Arabica",I976="Lib","Liberica")</f>
        <v>Robusta</v>
      </c>
      <c r="O976" t="str" cm="1">
        <f t="array" ref="O976">_xlfn.SWITCH($J976,"M","Medium","L","Light","D","Dark")</f>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IF(_xlfn.XLOOKUP(C977,customers!$A$1:$A$1001,customers!$C$1:$C$1001,,0)=0,"Not _Provided",_xlfn.XLOOKUP(C977,customers!$A$1:$A$1001,customers!$C$1:$C$1001,,0))</f>
        <v>ckingwellr3@squarespace.com</v>
      </c>
      <c r="H977" s="2" t="str">
        <f>_xlfn.XLOOKUP(C977,customers!$A$1:$A$1001,customers!$G$1:$G$1001,,0)</f>
        <v>Ireland</v>
      </c>
      <c r="I977" t="str">
        <f>INDEX(products!$B$1:$B$49,MATCH($D977,products!$A$1:$A$49,0))</f>
        <v>Ara</v>
      </c>
      <c r="J977" t="str">
        <f>INDEX(products!$C$1:$C$49,MATCH($D977,products!$A$1:$A$49,0))</f>
        <v>D</v>
      </c>
      <c r="K977" s="4">
        <f>INDEX(products!$D$1:$D$49,MATCH($D977,products!$A$1:$A$49,0))</f>
        <v>0.2</v>
      </c>
      <c r="L977" s="5">
        <f>INDEX(products!$E$1:$E$49,MATCH($D977,products!$A$1:$A$49,0))</f>
        <v>2.9849999999999999</v>
      </c>
      <c r="M977" s="5">
        <f t="shared" si="15"/>
        <v>8.9550000000000001</v>
      </c>
      <c r="N977" t="str" cm="1">
        <f t="array" ref="N977">_xlfn.IFS(I977="Rob","Robusta",I977="Exc","Excelsa",I977="Ara","Arabica",I977="Lib","Liberica")</f>
        <v>Arabica</v>
      </c>
      <c r="O977" t="str" cm="1">
        <f t="array" ref="O977">_xlfn.SWITCH($J977,"M","Medium","L","Light","D","Dark")</f>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IF(_xlfn.XLOOKUP(C978,customers!$A$1:$A$1001,customers!$C$1:$C$1001,,0)=0,"Not _Provided",_xlfn.XLOOKUP(C978,customers!$A$1:$A$1001,customers!$C$1:$C$1001,,0))</f>
        <v>kcantor4@gmpg.org</v>
      </c>
      <c r="H978" s="2" t="str">
        <f>_xlfn.XLOOKUP(C978,customers!$A$1:$A$1001,customers!$G$1:$G$1001,,0)</f>
        <v>United States</v>
      </c>
      <c r="I978" t="str">
        <f>INDEX(products!$B$1:$B$49,MATCH($D978,products!$A$1:$A$49,0))</f>
        <v>Rob</v>
      </c>
      <c r="J978" t="str">
        <f>INDEX(products!$C$1:$C$49,MATCH($D978,products!$A$1:$A$49,0))</f>
        <v>L</v>
      </c>
      <c r="K978" s="4">
        <f>INDEX(products!$D$1:$D$49,MATCH($D978,products!$A$1:$A$49,0))</f>
        <v>2.5</v>
      </c>
      <c r="L978" s="5">
        <f>INDEX(products!$E$1:$E$49,MATCH($D978,products!$A$1:$A$49,0))</f>
        <v>27.484999999999996</v>
      </c>
      <c r="M978" s="5">
        <f t="shared" si="15"/>
        <v>137.42499999999998</v>
      </c>
      <c r="N978" t="str" cm="1">
        <f t="array" ref="N978">_xlfn.IFS(I978="Rob","Robusta",I978="Exc","Excelsa",I978="Ara","Arabica",I978="Lib","Liberica")</f>
        <v>Robusta</v>
      </c>
      <c r="O978" t="str" cm="1">
        <f t="array" ref="O978">_xlfn.SWITCH($J978,"M","Medium","L","Light","D","Dark")</f>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IF(_xlfn.XLOOKUP(C979,customers!$A$1:$A$1001,customers!$C$1:$C$1001,,0)=0,"Not _Provided",_xlfn.XLOOKUP(C979,customers!$A$1:$A$1001,customers!$C$1:$C$1001,,0))</f>
        <v>mblakemorer5@nsw.gov.au</v>
      </c>
      <c r="H979" s="2" t="str">
        <f>_xlfn.XLOOKUP(C979,customers!$A$1:$A$1001,customers!$G$1:$G$1001,,0)</f>
        <v>United States</v>
      </c>
      <c r="I979" t="str">
        <f>INDEX(products!$B$1:$B$49,MATCH($D979,products!$A$1:$A$49,0))</f>
        <v>Rob</v>
      </c>
      <c r="J979" t="str">
        <f>INDEX(products!$C$1:$C$49,MATCH($D979,products!$A$1:$A$49,0))</f>
        <v>L</v>
      </c>
      <c r="K979" s="4">
        <f>INDEX(products!$D$1:$D$49,MATCH($D979,products!$A$1:$A$49,0))</f>
        <v>1</v>
      </c>
      <c r="L979" s="5">
        <f>INDEX(products!$E$1:$E$49,MATCH($D979,products!$A$1:$A$49,0))</f>
        <v>11.95</v>
      </c>
      <c r="M979" s="5">
        <f t="shared" si="15"/>
        <v>59.75</v>
      </c>
      <c r="N979" t="str" cm="1">
        <f t="array" ref="N979">_xlfn.IFS(I979="Rob","Robusta",I979="Exc","Excelsa",I979="Ara","Arabica",I979="Lib","Liberica")</f>
        <v>Robusta</v>
      </c>
      <c r="O979" t="str" cm="1">
        <f t="array" ref="O979">_xlfn.SWITCH($J979,"M","Medium","L","Light","D","Dark")</f>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IF(_xlfn.XLOOKUP(C980,customers!$A$1:$A$1001,customers!$C$1:$C$1001,,0)=0,"Not _Provided",_xlfn.XLOOKUP(C980,customers!$A$1:$A$1001,customers!$C$1:$C$1001,,0))</f>
        <v>ckeaver1@ucoz.com</v>
      </c>
      <c r="H980" s="2" t="str">
        <f>_xlfn.XLOOKUP(C980,customers!$A$1:$A$1001,customers!$G$1:$G$1001,,0)</f>
        <v>United States</v>
      </c>
      <c r="I980" t="str">
        <f>INDEX(products!$B$1:$B$49,MATCH($D980,products!$A$1:$A$49,0))</f>
        <v>Ara</v>
      </c>
      <c r="J980" t="str">
        <f>INDEX(products!$C$1:$C$49,MATCH($D980,products!$A$1:$A$49,0))</f>
        <v>L</v>
      </c>
      <c r="K980" s="4">
        <f>INDEX(products!$D$1:$D$49,MATCH($D980,products!$A$1:$A$49,0))</f>
        <v>0.5</v>
      </c>
      <c r="L980" s="5">
        <f>INDEX(products!$E$1:$E$49,MATCH($D980,products!$A$1:$A$49,0))</f>
        <v>7.77</v>
      </c>
      <c r="M980" s="5">
        <f t="shared" si="15"/>
        <v>23.31</v>
      </c>
      <c r="N980" t="str" cm="1">
        <f t="array" ref="N980">_xlfn.IFS(I980="Rob","Robusta",I980="Exc","Excelsa",I980="Ara","Arabica",I980="Lib","Liberica")</f>
        <v>Arabica</v>
      </c>
      <c r="O980" t="str" cm="1">
        <f t="array" ref="O980">_xlfn.SWITCH($J980,"M","Medium","L","Light","D","Dark")</f>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IF(_xlfn.XLOOKUP(C981,customers!$A$1:$A$1001,customers!$C$1:$C$1001,,0)=0,"Not _Provided",_xlfn.XLOOKUP(C981,customers!$A$1:$A$1001,customers!$C$1:$C$1001,,0))</f>
        <v>Not _Provided</v>
      </c>
      <c r="H981" s="2" t="str">
        <f>_xlfn.XLOOKUP(C981,customers!$A$1:$A$1001,customers!$G$1:$G$1001,,0)</f>
        <v>United States</v>
      </c>
      <c r="I981" t="str">
        <f>INDEX(products!$B$1:$B$49,MATCH($D981,products!$A$1:$A$49,0))</f>
        <v>Rob</v>
      </c>
      <c r="J981" t="str">
        <f>INDEX(products!$C$1:$C$49,MATCH($D981,products!$A$1:$A$49,0))</f>
        <v>D</v>
      </c>
      <c r="K981" s="4">
        <f>INDEX(products!$D$1:$D$49,MATCH($D981,products!$A$1:$A$49,0))</f>
        <v>0.5</v>
      </c>
      <c r="L981" s="5">
        <f>INDEX(products!$E$1:$E$49,MATCH($D981,products!$A$1:$A$49,0))</f>
        <v>5.3699999999999992</v>
      </c>
      <c r="M981" s="5">
        <f t="shared" si="15"/>
        <v>10.739999999999998</v>
      </c>
      <c r="N981" t="str" cm="1">
        <f t="array" ref="N981">_xlfn.IFS(I981="Rob","Robusta",I981="Exc","Excelsa",I981="Ara","Arabica",I981="Lib","Liberica")</f>
        <v>Robusta</v>
      </c>
      <c r="O981" t="str" cm="1">
        <f t="array" ref="O981">_xlfn.SWITCH($J981,"M","Medium","L","Light","D","Dark")</f>
        <v>Dark</v>
      </c>
      <c r="P981" t="str">
        <f>_xlfn.XLOOKUP(Table1[[#This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IF(_xlfn.XLOOKUP(C982,customers!$A$1:$A$1001,customers!$C$1:$C$1001,,0)=0,"Not _Provided",_xlfn.XLOOKUP(C982,customers!$A$1:$A$1001,customers!$C$1:$C$1001,,0))</f>
        <v>Not _Provided</v>
      </c>
      <c r="H982" s="2" t="str">
        <f>_xlfn.XLOOKUP(C982,customers!$A$1:$A$1001,customers!$G$1:$G$1001,,0)</f>
        <v>United States</v>
      </c>
      <c r="I982" t="str">
        <f>INDEX(products!$B$1:$B$49,MATCH($D982,products!$A$1:$A$49,0))</f>
        <v>Exc</v>
      </c>
      <c r="J982" t="str">
        <f>INDEX(products!$C$1:$C$49,MATCH($D982,products!$A$1:$A$49,0))</f>
        <v>D</v>
      </c>
      <c r="K982" s="4">
        <f>INDEX(products!$D$1:$D$49,MATCH($D982,products!$A$1:$A$49,0))</f>
        <v>2.5</v>
      </c>
      <c r="L982" s="5">
        <f>INDEX(products!$E$1:$E$49,MATCH($D982,products!$A$1:$A$49,0))</f>
        <v>27.945</v>
      </c>
      <c r="M982" s="5">
        <f t="shared" si="15"/>
        <v>167.67000000000002</v>
      </c>
      <c r="N982" t="str" cm="1">
        <f t="array" ref="N982">_xlfn.IFS(I982="Rob","Robusta",I982="Exc","Excelsa",I982="Ara","Arabica",I982="Lib","Liberica")</f>
        <v>Excelsa</v>
      </c>
      <c r="O982" t="str" cm="1">
        <f t="array" ref="O982">_xlfn.SWITCH($J982,"M","Medium","L","Light","D","Dark")</f>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IF(_xlfn.XLOOKUP(C983,customers!$A$1:$A$1001,customers!$C$1:$C$1001,,0)=0,"Not _Provided",_xlfn.XLOOKUP(C983,customers!$A$1:$A$1001,customers!$C$1:$C$1001,,0))</f>
        <v>cbernardotr9@wix.com</v>
      </c>
      <c r="H983" s="2" t="str">
        <f>_xlfn.XLOOKUP(C983,customers!$A$1:$A$1001,customers!$G$1:$G$1001,,0)</f>
        <v>United States</v>
      </c>
      <c r="I983" t="str">
        <f>INDEX(products!$B$1:$B$49,MATCH($D983,products!$A$1:$A$49,0))</f>
        <v>Exc</v>
      </c>
      <c r="J983" t="str">
        <f>INDEX(products!$C$1:$C$49,MATCH($D983,products!$A$1:$A$49,0))</f>
        <v>D</v>
      </c>
      <c r="K983" s="4">
        <f>INDEX(products!$D$1:$D$49,MATCH($D983,products!$A$1:$A$49,0))</f>
        <v>0.2</v>
      </c>
      <c r="L983" s="5">
        <f>INDEX(products!$E$1:$E$49,MATCH($D983,products!$A$1:$A$49,0))</f>
        <v>3.645</v>
      </c>
      <c r="M983" s="5">
        <f t="shared" si="15"/>
        <v>21.87</v>
      </c>
      <c r="N983" t="str" cm="1">
        <f t="array" ref="N983">_xlfn.IFS(I983="Rob","Robusta",I983="Exc","Excelsa",I983="Ara","Arabica",I983="Lib","Liberica")</f>
        <v>Excelsa</v>
      </c>
      <c r="O983" t="str" cm="1">
        <f t="array" ref="O983">_xlfn.SWITCH($J983,"M","Medium","L","Light","D","Dark")</f>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IF(_xlfn.XLOOKUP(C984,customers!$A$1:$A$1001,customers!$C$1:$C$1001,,0)=0,"Not _Provided",_xlfn.XLOOKUP(C984,customers!$A$1:$A$1001,customers!$C$1:$C$1001,,0))</f>
        <v>kkemeryra@t.co</v>
      </c>
      <c r="H984" s="2" t="str">
        <f>_xlfn.XLOOKUP(C984,customers!$A$1:$A$1001,customers!$G$1:$G$1001,,0)</f>
        <v>United States</v>
      </c>
      <c r="I984" t="str">
        <f>INDEX(products!$B$1:$B$49,MATCH($D984,products!$A$1:$A$49,0))</f>
        <v>Rob</v>
      </c>
      <c r="J984" t="str">
        <f>INDEX(products!$C$1:$C$49,MATCH($D984,products!$A$1:$A$49,0))</f>
        <v>L</v>
      </c>
      <c r="K984" s="4">
        <f>INDEX(products!$D$1:$D$49,MATCH($D984,products!$A$1:$A$49,0))</f>
        <v>1</v>
      </c>
      <c r="L984" s="5">
        <f>INDEX(products!$E$1:$E$49,MATCH($D984,products!$A$1:$A$49,0))</f>
        <v>11.95</v>
      </c>
      <c r="M984" s="5">
        <f t="shared" si="15"/>
        <v>23.9</v>
      </c>
      <c r="N984" t="str" cm="1">
        <f t="array" ref="N984">_xlfn.IFS(I984="Rob","Robusta",I984="Exc","Excelsa",I984="Ara","Arabica",I984="Lib","Liberica")</f>
        <v>Robusta</v>
      </c>
      <c r="O984" t="str" cm="1">
        <f t="array" ref="O984">_xlfn.SWITCH($J984,"M","Medium","L","Light","D","Dark")</f>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IF(_xlfn.XLOOKUP(C985,customers!$A$1:$A$1001,customers!$C$1:$C$1001,,0)=0,"Not _Provided",_xlfn.XLOOKUP(C985,customers!$A$1:$A$1001,customers!$C$1:$C$1001,,0))</f>
        <v>fparlotrb@forbes.com</v>
      </c>
      <c r="H985" s="2" t="str">
        <f>_xlfn.XLOOKUP(C985,customers!$A$1:$A$1001,customers!$G$1:$G$1001,,0)</f>
        <v>United States</v>
      </c>
      <c r="I985" t="str">
        <f>INDEX(products!$B$1:$B$49,MATCH($D985,products!$A$1:$A$49,0))</f>
        <v>Ara</v>
      </c>
      <c r="J985" t="str">
        <f>INDEX(products!$C$1:$C$49,MATCH($D985,products!$A$1:$A$49,0))</f>
        <v>M</v>
      </c>
      <c r="K985" s="4">
        <f>INDEX(products!$D$1:$D$49,MATCH($D985,products!$A$1:$A$49,0))</f>
        <v>0.2</v>
      </c>
      <c r="L985" s="5">
        <f>INDEX(products!$E$1:$E$49,MATCH($D985,products!$A$1:$A$49,0))</f>
        <v>3.375</v>
      </c>
      <c r="M985" s="5">
        <f t="shared" si="15"/>
        <v>6.75</v>
      </c>
      <c r="N985" t="str" cm="1">
        <f t="array" ref="N985">_xlfn.IFS(I985="Rob","Robusta",I985="Exc","Excelsa",I985="Ara","Arabica",I985="Lib","Liberica")</f>
        <v>Arabica</v>
      </c>
      <c r="O985" t="str" cm="1">
        <f t="array" ref="O985">_xlfn.SWITCH($J985,"M","Medium","L","Light","D","Dark")</f>
        <v>Medium</v>
      </c>
      <c r="P985" t="str">
        <f>_xlfn.XLOOKUP(Table1[[#This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IF(_xlfn.XLOOKUP(C986,customers!$A$1:$A$1001,customers!$C$1:$C$1001,,0)=0,"Not _Provided",_xlfn.XLOOKUP(C986,customers!$A$1:$A$1001,customers!$C$1:$C$1001,,0))</f>
        <v>rcheakrc@tripadvisor.com</v>
      </c>
      <c r="H986" s="2" t="str">
        <f>_xlfn.XLOOKUP(C986,customers!$A$1:$A$1001,customers!$G$1:$G$1001,,0)</f>
        <v>Ireland</v>
      </c>
      <c r="I986" t="str">
        <f>INDEX(products!$B$1:$B$49,MATCH($D986,products!$A$1:$A$49,0))</f>
        <v>Exc</v>
      </c>
      <c r="J986" t="str">
        <f>INDEX(products!$C$1:$C$49,MATCH($D986,products!$A$1:$A$49,0))</f>
        <v>M</v>
      </c>
      <c r="K986" s="4">
        <f>INDEX(products!$D$1:$D$49,MATCH($D986,products!$A$1:$A$49,0))</f>
        <v>2.5</v>
      </c>
      <c r="L986" s="5">
        <f>INDEX(products!$E$1:$E$49,MATCH($D986,products!$A$1:$A$49,0))</f>
        <v>31.624999999999996</v>
      </c>
      <c r="M986" s="5">
        <f t="shared" si="15"/>
        <v>31.624999999999996</v>
      </c>
      <c r="N986" t="str" cm="1">
        <f t="array" ref="N986">_xlfn.IFS(I986="Rob","Robusta",I986="Exc","Excelsa",I986="Ara","Arabica",I986="Lib","Liberica")</f>
        <v>Excelsa</v>
      </c>
      <c r="O986" t="str" cm="1">
        <f t="array" ref="O986">_xlfn.SWITCH($J986,"M","Medium","L","Light","D","Dark")</f>
        <v>Medium</v>
      </c>
      <c r="P986" t="str">
        <f>_xlfn.XLOOKUP(Table1[[#This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IF(_xlfn.XLOOKUP(C987,customers!$A$1:$A$1001,customers!$C$1:$C$1001,,0)=0,"Not _Provided",_xlfn.XLOOKUP(C987,customers!$A$1:$A$1001,customers!$C$1:$C$1001,,0))</f>
        <v>kogeneayrd@utexas.edu</v>
      </c>
      <c r="H987" s="2" t="str">
        <f>_xlfn.XLOOKUP(C987,customers!$A$1:$A$1001,customers!$G$1:$G$1001,,0)</f>
        <v>United States</v>
      </c>
      <c r="I987" t="str">
        <f>INDEX(products!$B$1:$B$49,MATCH($D987,products!$A$1:$A$49,0))</f>
        <v>Rob</v>
      </c>
      <c r="J987" t="str">
        <f>INDEX(products!$C$1:$C$49,MATCH($D987,products!$A$1:$A$49,0))</f>
        <v>L</v>
      </c>
      <c r="K987" s="4">
        <f>INDEX(products!$D$1:$D$49,MATCH($D987,products!$A$1:$A$49,0))</f>
        <v>1</v>
      </c>
      <c r="L987" s="5">
        <f>INDEX(products!$E$1:$E$49,MATCH($D987,products!$A$1:$A$49,0))</f>
        <v>11.95</v>
      </c>
      <c r="M987" s="5">
        <f t="shared" si="15"/>
        <v>47.8</v>
      </c>
      <c r="N987" t="str" cm="1">
        <f t="array" ref="N987">_xlfn.IFS(I987="Rob","Robusta",I987="Exc","Excelsa",I987="Ara","Arabica",I987="Lib","Liberica")</f>
        <v>Robusta</v>
      </c>
      <c r="O987" t="str" cm="1">
        <f t="array" ref="O987">_xlfn.SWITCH($J987,"M","Medium","L","Light","D","Dark")</f>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IF(_xlfn.XLOOKUP(C988,customers!$A$1:$A$1001,customers!$C$1:$C$1001,,0)=0,"Not _Provided",_xlfn.XLOOKUP(C988,customers!$A$1:$A$1001,customers!$C$1:$C$1001,,0))</f>
        <v>cayrere@symantec.com</v>
      </c>
      <c r="H988" s="2" t="str">
        <f>_xlfn.XLOOKUP(C988,customers!$A$1:$A$1001,customers!$G$1:$G$1001,,0)</f>
        <v>United States</v>
      </c>
      <c r="I988" t="str">
        <f>INDEX(products!$B$1:$B$49,MATCH($D988,products!$A$1:$A$49,0))</f>
        <v>Lib</v>
      </c>
      <c r="J988" t="str">
        <f>INDEX(products!$C$1:$C$49,MATCH($D988,products!$A$1:$A$49,0))</f>
        <v>M</v>
      </c>
      <c r="K988" s="4">
        <f>INDEX(products!$D$1:$D$49,MATCH($D988,products!$A$1:$A$49,0))</f>
        <v>2.5</v>
      </c>
      <c r="L988" s="5">
        <f>INDEX(products!$E$1:$E$49,MATCH($D988,products!$A$1:$A$49,0))</f>
        <v>33.464999999999996</v>
      </c>
      <c r="M988" s="5">
        <f t="shared" si="15"/>
        <v>33.464999999999996</v>
      </c>
      <c r="N988" t="str" cm="1">
        <f t="array" ref="N988">_xlfn.IFS(I988="Rob","Robusta",I988="Exc","Excelsa",I988="Ara","Arabica",I988="Lib","Liberica")</f>
        <v>Liberica</v>
      </c>
      <c r="O988" t="str" cm="1">
        <f t="array" ref="O988">_xlfn.SWITCH($J988,"M","Medium","L","Light","D","Dark")</f>
        <v>Medium</v>
      </c>
      <c r="P988" t="str">
        <f>_xlfn.XLOOKUP(Table1[[#This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IF(_xlfn.XLOOKUP(C989,customers!$A$1:$A$1001,customers!$C$1:$C$1001,,0)=0,"Not _Provided",_xlfn.XLOOKUP(C989,customers!$A$1:$A$1001,customers!$C$1:$C$1001,,0))</f>
        <v>lkynetonrf@macromedia.com</v>
      </c>
      <c r="H989" s="2" t="str">
        <f>_xlfn.XLOOKUP(C989,customers!$A$1:$A$1001,customers!$G$1:$G$1001,,0)</f>
        <v>United Kingdom</v>
      </c>
      <c r="I989" t="str">
        <f>INDEX(products!$B$1:$B$49,MATCH($D989,products!$A$1:$A$49,0))</f>
        <v>Ara</v>
      </c>
      <c r="J989" t="str">
        <f>INDEX(products!$C$1:$C$49,MATCH($D989,products!$A$1:$A$49,0))</f>
        <v>D</v>
      </c>
      <c r="K989" s="4">
        <f>INDEX(products!$D$1:$D$49,MATCH($D989,products!$A$1:$A$49,0))</f>
        <v>0.5</v>
      </c>
      <c r="L989" s="5">
        <f>INDEX(products!$E$1:$E$49,MATCH($D989,products!$A$1:$A$49,0))</f>
        <v>5.97</v>
      </c>
      <c r="M989" s="5">
        <f t="shared" si="15"/>
        <v>29.849999999999998</v>
      </c>
      <c r="N989" t="str" cm="1">
        <f t="array" ref="N989">_xlfn.IFS(I989="Rob","Robusta",I989="Exc","Excelsa",I989="Ara","Arabica",I989="Lib","Liberica")</f>
        <v>Arabica</v>
      </c>
      <c r="O989" t="str" cm="1">
        <f t="array" ref="O989">_xlfn.SWITCH($J989,"M","Medium","L","Light","D","Dark")</f>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IF(_xlfn.XLOOKUP(C990,customers!$A$1:$A$1001,customers!$C$1:$C$1001,,0)=0,"Not _Provided",_xlfn.XLOOKUP(C990,customers!$A$1:$A$1001,customers!$C$1:$C$1001,,0))</f>
        <v>Not _Provided</v>
      </c>
      <c r="H990" s="2" t="str">
        <f>_xlfn.XLOOKUP(C990,customers!$A$1:$A$1001,customers!$G$1:$G$1001,,0)</f>
        <v>United Kingdom</v>
      </c>
      <c r="I990" t="str">
        <f>INDEX(products!$B$1:$B$49,MATCH($D990,products!$A$1:$A$49,0))</f>
        <v>Rob</v>
      </c>
      <c r="J990" t="str">
        <f>INDEX(products!$C$1:$C$49,MATCH($D990,products!$A$1:$A$49,0))</f>
        <v>M</v>
      </c>
      <c r="K990" s="4">
        <f>INDEX(products!$D$1:$D$49,MATCH($D990,products!$A$1:$A$49,0))</f>
        <v>1</v>
      </c>
      <c r="L990" s="5">
        <f>INDEX(products!$E$1:$E$49,MATCH($D990,products!$A$1:$A$49,0))</f>
        <v>9.9499999999999993</v>
      </c>
      <c r="M990" s="5">
        <f t="shared" si="15"/>
        <v>29.849999999999998</v>
      </c>
      <c r="N990" t="str" cm="1">
        <f t="array" ref="N990">_xlfn.IFS(I990="Rob","Robusta",I990="Exc","Excelsa",I990="Ara","Arabica",I990="Lib","Liberica")</f>
        <v>Robusta</v>
      </c>
      <c r="O990" t="str" cm="1">
        <f t="array" ref="O990">_xlfn.SWITCH($J990,"M","Medium","L","Light","D","Dark")</f>
        <v>Medium</v>
      </c>
      <c r="P990" t="str">
        <f>_xlfn.XLOOKUP(Table1[[#This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IF(_xlfn.XLOOKUP(C991,customers!$A$1:$A$1001,customers!$C$1:$C$1001,,0)=0,"Not _Provided",_xlfn.XLOOKUP(C991,customers!$A$1:$A$1001,customers!$C$1:$C$1001,,0))</f>
        <v>Not _Provided</v>
      </c>
      <c r="H991" s="2" t="str">
        <f>_xlfn.XLOOKUP(C991,customers!$A$1:$A$1001,customers!$G$1:$G$1001,,0)</f>
        <v>United States</v>
      </c>
      <c r="I991" t="str">
        <f>INDEX(products!$B$1:$B$49,MATCH($D991,products!$A$1:$A$49,0))</f>
        <v>Ara</v>
      </c>
      <c r="J991" t="str">
        <f>INDEX(products!$C$1:$C$49,MATCH($D991,products!$A$1:$A$49,0))</f>
        <v>M</v>
      </c>
      <c r="K991" s="4">
        <f>INDEX(products!$D$1:$D$49,MATCH($D991,products!$A$1:$A$49,0))</f>
        <v>2.5</v>
      </c>
      <c r="L991" s="5">
        <f>INDEX(products!$E$1:$E$49,MATCH($D991,products!$A$1:$A$49,0))</f>
        <v>25.874999999999996</v>
      </c>
      <c r="M991" s="5">
        <f t="shared" si="15"/>
        <v>155.24999999999997</v>
      </c>
      <c r="N991" t="str" cm="1">
        <f t="array" ref="N991">_xlfn.IFS(I991="Rob","Robusta",I991="Exc","Excelsa",I991="Ara","Arabica",I991="Lib","Liberica")</f>
        <v>Arabica</v>
      </c>
      <c r="O991" t="str" cm="1">
        <f t="array" ref="O991">_xlfn.SWITCH($J991,"M","Medium","L","Light","D","Dark")</f>
        <v>Medium</v>
      </c>
      <c r="P991" t="str">
        <f>_xlfn.XLOOKUP(Table1[[#This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IF(_xlfn.XLOOKUP(C992,customers!$A$1:$A$1001,customers!$C$1:$C$1001,,0)=0,"Not _Provided",_xlfn.XLOOKUP(C992,customers!$A$1:$A$1001,customers!$C$1:$C$1001,,0))</f>
        <v>Not _Provided</v>
      </c>
      <c r="H992" s="2" t="str">
        <f>_xlfn.XLOOKUP(C992,customers!$A$1:$A$1001,customers!$G$1:$G$1001,,0)</f>
        <v>United States</v>
      </c>
      <c r="I992" t="str">
        <f>INDEX(products!$B$1:$B$49,MATCH($D992,products!$A$1:$A$49,0))</f>
        <v>Exc</v>
      </c>
      <c r="J992" t="str">
        <f>INDEX(products!$C$1:$C$49,MATCH($D992,products!$A$1:$A$49,0))</f>
        <v>D</v>
      </c>
      <c r="K992" s="4">
        <f>INDEX(products!$D$1:$D$49,MATCH($D992,products!$A$1:$A$49,0))</f>
        <v>0.2</v>
      </c>
      <c r="L992" s="5">
        <f>INDEX(products!$E$1:$E$49,MATCH($D992,products!$A$1:$A$49,0))</f>
        <v>3.645</v>
      </c>
      <c r="M992" s="5">
        <f t="shared" si="15"/>
        <v>18.225000000000001</v>
      </c>
      <c r="N992" t="str" cm="1">
        <f t="array" ref="N992">_xlfn.IFS(I992="Rob","Robusta",I992="Exc","Excelsa",I992="Ara","Arabica",I992="Lib","Liberica")</f>
        <v>Excelsa</v>
      </c>
      <c r="O992" t="str" cm="1">
        <f t="array" ref="O992">_xlfn.SWITCH($J992,"M","Medium","L","Light","D","Dark")</f>
        <v>Dark</v>
      </c>
      <c r="P992" t="str">
        <f>_xlfn.XLOOKUP(Table1[[#This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IF(_xlfn.XLOOKUP(C993,customers!$A$1:$A$1001,customers!$C$1:$C$1001,,0)=0,"Not _Provided",_xlfn.XLOOKUP(C993,customers!$A$1:$A$1001,customers!$C$1:$C$1001,,0))</f>
        <v>Not _Provided</v>
      </c>
      <c r="H993" s="2" t="str">
        <f>_xlfn.XLOOKUP(C993,customers!$A$1:$A$1001,customers!$G$1:$G$1001,,0)</f>
        <v>United States</v>
      </c>
      <c r="I993" t="str">
        <f>INDEX(products!$B$1:$B$49,MATCH($D993,products!$A$1:$A$49,0))</f>
        <v>Lib</v>
      </c>
      <c r="J993" t="str">
        <f>INDEX(products!$C$1:$C$49,MATCH($D993,products!$A$1:$A$49,0))</f>
        <v>D</v>
      </c>
      <c r="K993" s="4">
        <f>INDEX(products!$D$1:$D$49,MATCH($D993,products!$A$1:$A$49,0))</f>
        <v>0.5</v>
      </c>
      <c r="L993" s="5">
        <f>INDEX(products!$E$1:$E$49,MATCH($D993,products!$A$1:$A$49,0))</f>
        <v>7.77</v>
      </c>
      <c r="M993" s="5">
        <f t="shared" si="15"/>
        <v>15.54</v>
      </c>
      <c r="N993" t="str" cm="1">
        <f t="array" ref="N993">_xlfn.IFS(I993="Rob","Robusta",I993="Exc","Excelsa",I993="Ara","Arabica",I993="Lib","Liberica")</f>
        <v>Liberica</v>
      </c>
      <c r="O993" t="str" cm="1">
        <f t="array" ref="O993">_xlfn.SWITCH($J993,"M","Medium","L","Light","D","Dark")</f>
        <v>Dark</v>
      </c>
      <c r="P993" t="str">
        <f>_xlfn.XLOOKUP(Table1[[#This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IF(_xlfn.XLOOKUP(C994,customers!$A$1:$A$1001,customers!$C$1:$C$1001,,0)=0,"Not _Provided",_xlfn.XLOOKUP(C994,customers!$A$1:$A$1001,customers!$C$1:$C$1001,,0))</f>
        <v>Not _Provided</v>
      </c>
      <c r="H994" s="2" t="str">
        <f>_xlfn.XLOOKUP(C994,customers!$A$1:$A$1001,customers!$G$1:$G$1001,,0)</f>
        <v>Ireland</v>
      </c>
      <c r="I994" t="str">
        <f>INDEX(products!$B$1:$B$49,MATCH($D994,products!$A$1:$A$49,0))</f>
        <v>Lib</v>
      </c>
      <c r="J994" t="str">
        <f>INDEX(products!$C$1:$C$49,MATCH($D994,products!$A$1:$A$49,0))</f>
        <v>L</v>
      </c>
      <c r="K994" s="4">
        <f>INDEX(products!$D$1:$D$49,MATCH($D994,products!$A$1:$A$49,0))</f>
        <v>2.5</v>
      </c>
      <c r="L994" s="5">
        <f>INDEX(products!$E$1:$E$49,MATCH($D994,products!$A$1:$A$49,0))</f>
        <v>36.454999999999998</v>
      </c>
      <c r="M994" s="5">
        <f t="shared" si="15"/>
        <v>109.36499999999999</v>
      </c>
      <c r="N994" t="str" cm="1">
        <f t="array" ref="N994">_xlfn.IFS(I994="Rob","Robusta",I994="Exc","Excelsa",I994="Ara","Arabica",I994="Lib","Liberica")</f>
        <v>Liberica</v>
      </c>
      <c r="O994" t="str" cm="1">
        <f t="array" ref="O994">_xlfn.SWITCH($J994,"M","Medium","L","Light","D","Dark")</f>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IF(_xlfn.XLOOKUP(C995,customers!$A$1:$A$1001,customers!$C$1:$C$1001,,0)=0,"Not _Provided",_xlfn.XLOOKUP(C995,customers!$A$1:$A$1001,customers!$C$1:$C$1001,,0))</f>
        <v>Not _Provided</v>
      </c>
      <c r="H995" s="2" t="str">
        <f>_xlfn.XLOOKUP(C995,customers!$A$1:$A$1001,customers!$G$1:$G$1001,,0)</f>
        <v>United States</v>
      </c>
      <c r="I995" t="str">
        <f>INDEX(products!$B$1:$B$49,MATCH($D995,products!$A$1:$A$49,0))</f>
        <v>Ara</v>
      </c>
      <c r="J995" t="str">
        <f>INDEX(products!$C$1:$C$49,MATCH($D995,products!$A$1:$A$49,0))</f>
        <v>L</v>
      </c>
      <c r="K995" s="4">
        <f>INDEX(products!$D$1:$D$49,MATCH($D995,products!$A$1:$A$49,0))</f>
        <v>1</v>
      </c>
      <c r="L995" s="5">
        <f>INDEX(products!$E$1:$E$49,MATCH($D995,products!$A$1:$A$49,0))</f>
        <v>12.95</v>
      </c>
      <c r="M995" s="5">
        <f t="shared" si="15"/>
        <v>77.699999999999989</v>
      </c>
      <c r="N995" t="str" cm="1">
        <f t="array" ref="N995">_xlfn.IFS(I995="Rob","Robusta",I995="Exc","Excelsa",I995="Ara","Arabica",I995="Lib","Liberica")</f>
        <v>Arabica</v>
      </c>
      <c r="O995" t="str" cm="1">
        <f t="array" ref="O995">_xlfn.SWITCH($J995,"M","Medium","L","Light","D","Dark")</f>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IF(_xlfn.XLOOKUP(C996,customers!$A$1:$A$1001,customers!$C$1:$C$1001,,0)=0,"Not _Provided",_xlfn.XLOOKUP(C996,customers!$A$1:$A$1001,customers!$C$1:$C$1001,,0))</f>
        <v>Not _Provided</v>
      </c>
      <c r="H996" s="2" t="str">
        <f>_xlfn.XLOOKUP(C996,customers!$A$1:$A$1001,customers!$G$1:$G$1001,,0)</f>
        <v>Ireland</v>
      </c>
      <c r="I996" t="str">
        <f>INDEX(products!$B$1:$B$49,MATCH($D996,products!$A$1:$A$49,0))</f>
        <v>Ara</v>
      </c>
      <c r="J996" t="str">
        <f>INDEX(products!$C$1:$C$49,MATCH($D996,products!$A$1:$A$49,0))</f>
        <v>D</v>
      </c>
      <c r="K996" s="4">
        <f>INDEX(products!$D$1:$D$49,MATCH($D996,products!$A$1:$A$49,0))</f>
        <v>0.2</v>
      </c>
      <c r="L996" s="5">
        <f>INDEX(products!$E$1:$E$49,MATCH($D996,products!$A$1:$A$49,0))</f>
        <v>2.9849999999999999</v>
      </c>
      <c r="M996" s="5">
        <f t="shared" si="15"/>
        <v>8.9550000000000001</v>
      </c>
      <c r="N996" t="str" cm="1">
        <f t="array" ref="N996">_xlfn.IFS(I996="Rob","Robusta",I996="Exc","Excelsa",I996="Ara","Arabica",I996="Lib","Liberica")</f>
        <v>Arabica</v>
      </c>
      <c r="O996" t="str" cm="1">
        <f t="array" ref="O996">_xlfn.SWITCH($J996,"M","Medium","L","Light","D","Dark")</f>
        <v>Dark</v>
      </c>
      <c r="P996" t="str">
        <f>_xlfn.XLOOKUP(Table1[[#This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IF(_xlfn.XLOOKUP(C997,customers!$A$1:$A$1001,customers!$C$1:$C$1001,,0)=0,"Not _Provided",_xlfn.XLOOKUP(C997,customers!$A$1:$A$1001,customers!$C$1:$C$1001,,0))</f>
        <v>jtewelsonrn@samsung.com</v>
      </c>
      <c r="H997" s="2" t="str">
        <f>_xlfn.XLOOKUP(C997,customers!$A$1:$A$1001,customers!$G$1:$G$1001,,0)</f>
        <v>United States</v>
      </c>
      <c r="I997" t="str">
        <f>INDEX(products!$B$1:$B$49,MATCH($D997,products!$A$1:$A$49,0))</f>
        <v>Rob</v>
      </c>
      <c r="J997" t="str">
        <f>INDEX(products!$C$1:$C$49,MATCH($D997,products!$A$1:$A$49,0))</f>
        <v>L</v>
      </c>
      <c r="K997" s="4">
        <f>INDEX(products!$D$1:$D$49,MATCH($D997,products!$A$1:$A$49,0))</f>
        <v>2.5</v>
      </c>
      <c r="L997" s="5">
        <f>INDEX(products!$E$1:$E$49,MATCH($D997,products!$A$1:$A$49,0))</f>
        <v>27.484999999999996</v>
      </c>
      <c r="M997" s="5">
        <f t="shared" si="15"/>
        <v>27.484999999999996</v>
      </c>
      <c r="N997" t="str" cm="1">
        <f t="array" ref="N997">_xlfn.IFS(I997="Rob","Robusta",I997="Exc","Excelsa",I997="Ara","Arabica",I997="Lib","Liberica")</f>
        <v>Robusta</v>
      </c>
      <c r="O997" t="str" cm="1">
        <f t="array" ref="O997">_xlfn.SWITCH($J997,"M","Medium","L","Light","D","Dark")</f>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IF(_xlfn.XLOOKUP(C998,customers!$A$1:$A$1001,customers!$C$1:$C$1001,,0)=0,"Not _Provided",_xlfn.XLOOKUP(C998,customers!$A$1:$A$1001,customers!$C$1:$C$1001,,0))</f>
        <v>Not _Provided</v>
      </c>
      <c r="H998" s="2" t="str">
        <f>_xlfn.XLOOKUP(C998,customers!$A$1:$A$1001,customers!$G$1:$G$1001,,0)</f>
        <v>United States</v>
      </c>
      <c r="I998" t="str">
        <f>INDEX(products!$B$1:$B$49,MATCH($D998,products!$A$1:$A$49,0))</f>
        <v>Rob</v>
      </c>
      <c r="J998" t="str">
        <f>INDEX(products!$C$1:$C$49,MATCH($D998,products!$A$1:$A$49,0))</f>
        <v>M</v>
      </c>
      <c r="K998" s="4">
        <f>INDEX(products!$D$1:$D$49,MATCH($D998,products!$A$1:$A$49,0))</f>
        <v>0.5</v>
      </c>
      <c r="L998" s="5">
        <f>INDEX(products!$E$1:$E$49,MATCH($D998,products!$A$1:$A$49,0))</f>
        <v>5.97</v>
      </c>
      <c r="M998" s="5">
        <f t="shared" si="15"/>
        <v>29.849999999999998</v>
      </c>
      <c r="N998" t="str" cm="1">
        <f t="array" ref="N998">_xlfn.IFS(I998="Rob","Robusta",I998="Exc","Excelsa",I998="Ara","Arabica",I998="Lib","Liberica")</f>
        <v>Robusta</v>
      </c>
      <c r="O998" t="str" cm="1">
        <f t="array" ref="O998">_xlfn.SWITCH($J998,"M","Medium","L","Light","D","Dark")</f>
        <v>Medium</v>
      </c>
      <c r="P998" t="str">
        <f>_xlfn.XLOOKUP(Table1[[#This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IF(_xlfn.XLOOKUP(C999,customers!$A$1:$A$1001,customers!$C$1:$C$1001,,0)=0,"Not _Provided",_xlfn.XLOOKUP(C999,customers!$A$1:$A$1001,customers!$C$1:$C$1001,,0))</f>
        <v>Not _Provided</v>
      </c>
      <c r="H999" s="2" t="str">
        <f>_xlfn.XLOOKUP(C999,customers!$A$1:$A$1001,customers!$G$1:$G$1001,,0)</f>
        <v>United States</v>
      </c>
      <c r="I999" t="str">
        <f>INDEX(products!$B$1:$B$49,MATCH($D999,products!$A$1:$A$49,0))</f>
        <v>Ara</v>
      </c>
      <c r="J999" t="str">
        <f>INDEX(products!$C$1:$C$49,MATCH($D999,products!$A$1:$A$49,0))</f>
        <v>M</v>
      </c>
      <c r="K999" s="4">
        <f>INDEX(products!$D$1:$D$49,MATCH($D999,products!$A$1:$A$49,0))</f>
        <v>0.5</v>
      </c>
      <c r="L999" s="5">
        <f>INDEX(products!$E$1:$E$49,MATCH($D999,products!$A$1:$A$49,0))</f>
        <v>6.75</v>
      </c>
      <c r="M999" s="5">
        <f t="shared" si="15"/>
        <v>27</v>
      </c>
      <c r="N999" t="str" cm="1">
        <f t="array" ref="N999">_xlfn.IFS(I999="Rob","Robusta",I999="Exc","Excelsa",I999="Ara","Arabica",I999="Lib","Liberica")</f>
        <v>Arabica</v>
      </c>
      <c r="O999" t="str" cm="1">
        <f t="array" ref="O999">_xlfn.SWITCH($J999,"M","Medium","L","Light","D","Dark")</f>
        <v>Medium</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IF(_xlfn.XLOOKUP(C1000,customers!$A$1:$A$1001,customers!$C$1:$C$1001,,0)=0,"Not _Provided",_xlfn.XLOOKUP(C1000,customers!$A$1:$A$1001,customers!$C$1:$C$1001,,0))</f>
        <v>njennyrq@bigcartel.com</v>
      </c>
      <c r="H1000" s="2" t="str">
        <f>_xlfn.XLOOKUP(C1000,customers!$A$1:$A$1001,customers!$G$1:$G$1001,,0)</f>
        <v>United States</v>
      </c>
      <c r="I1000" t="str">
        <f>INDEX(products!$B$1:$B$49,MATCH($D1000,products!$A$1:$A$49,0))</f>
        <v>Ara</v>
      </c>
      <c r="J1000" t="str">
        <f>INDEX(products!$C$1:$C$49,MATCH($D1000,products!$A$1:$A$49,0))</f>
        <v>D</v>
      </c>
      <c r="K1000" s="4">
        <f>INDEX(products!$D$1:$D$49,MATCH($D1000,products!$A$1:$A$49,0))</f>
        <v>1</v>
      </c>
      <c r="L1000" s="5">
        <f>INDEX(products!$E$1:$E$49,MATCH($D1000,products!$A$1:$A$49,0))</f>
        <v>9.9499999999999993</v>
      </c>
      <c r="M1000" s="5">
        <f t="shared" si="15"/>
        <v>9.9499999999999993</v>
      </c>
      <c r="N1000" t="str" cm="1">
        <f t="array" ref="N1000">_xlfn.IFS(I1000="Rob","Robusta",I1000="Exc","Excelsa",I1000="Ara","Arabica",I1000="Lib","Liberica")</f>
        <v>Arabica</v>
      </c>
      <c r="O1000" t="str" cm="1">
        <f t="array" ref="O1000">_xlfn.SWITCH($J1000,"M","Medium","L","Light","D","Dark")</f>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IF(_xlfn.XLOOKUP(C1001,customers!$A$1:$A$1001,customers!$C$1:$C$1001,,0)=0,"Not _Provided",_xlfn.XLOOKUP(C1001,customers!$A$1:$A$1001,customers!$C$1:$C$1001,,0))</f>
        <v>Not _Provided</v>
      </c>
      <c r="H1001" s="2" t="str">
        <f>_xlfn.XLOOKUP(C1001,customers!$A$1:$A$1001,customers!$G$1:$G$1001,,0)</f>
        <v>United Kingdom</v>
      </c>
      <c r="I1001" t="str">
        <f>INDEX(products!$B$1:$B$49,MATCH($D1001,products!$A$1:$A$49,0))</f>
        <v>Exc</v>
      </c>
      <c r="J1001" t="str">
        <f>INDEX(products!$C$1:$C$49,MATCH($D1001,products!$A$1:$A$49,0))</f>
        <v>M</v>
      </c>
      <c r="K1001" s="4">
        <f>INDEX(products!$D$1:$D$49,MATCH($D1001,products!$A$1:$A$49,0))</f>
        <v>0.2</v>
      </c>
      <c r="L1001" s="5">
        <f>INDEX(products!$E$1:$E$49,MATCH($D1001,products!$A$1:$A$49,0))</f>
        <v>4.125</v>
      </c>
      <c r="M1001" s="5">
        <f t="shared" si="15"/>
        <v>12.375</v>
      </c>
      <c r="N1001" t="str" cm="1">
        <f t="array" ref="N1001">_xlfn.IFS(I1001="Rob","Robusta",I1001="Exc","Excelsa",I1001="Ara","Arabica",I1001="Lib","Liberica")</f>
        <v>Excelsa</v>
      </c>
      <c r="O1001" t="str" cm="1">
        <f t="array" ref="O1001">_xlfn.SWITCH($J1001,"M","Medium","L","Light","D","Dark")</f>
        <v>Medium</v>
      </c>
      <c r="P1001" t="str">
        <f>_xlfn.XLOOKUP(Table1[[#This Row],[Customer ID]],customers!$A$1:$A$1001,customers!$I$1:$I$1001,,0)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635B-320E-4F5C-B590-662C5CACC144}">
  <dimension ref="A1:N48"/>
  <sheetViews>
    <sheetView zoomScaleNormal="100" workbookViewId="0">
      <selection activeCell="I17" sqref="I17"/>
    </sheetView>
  </sheetViews>
  <sheetFormatPr defaultRowHeight="14.4" x14ac:dyDescent="0.3"/>
  <cols>
    <col min="1" max="1" width="12.3320312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9" max="9" width="14" bestFit="1" customWidth="1"/>
    <col min="10" max="10" width="11.6640625" bestFit="1" customWidth="1"/>
    <col min="13" max="13" width="15.109375" bestFit="1" customWidth="1"/>
    <col min="14" max="14" width="11.6640625" bestFit="1" customWidth="1"/>
  </cols>
  <sheetData>
    <row r="1" spans="1:14" ht="14.4" customHeight="1" x14ac:dyDescent="0.4">
      <c r="M1" s="10"/>
      <c r="N1" s="11"/>
    </row>
    <row r="2" spans="1:14" ht="23.4" x14ac:dyDescent="0.45">
      <c r="A2" s="12" t="s">
        <v>6224</v>
      </c>
      <c r="B2" s="13"/>
      <c r="C2" s="13"/>
      <c r="D2" s="13"/>
      <c r="E2" s="13"/>
      <c r="F2" s="13"/>
      <c r="I2" s="12" t="s">
        <v>6223</v>
      </c>
      <c r="J2" s="13"/>
      <c r="M2" s="12" t="s">
        <v>6222</v>
      </c>
      <c r="N2" s="13"/>
    </row>
    <row r="3" spans="1:14" x14ac:dyDescent="0.3">
      <c r="A3" s="6" t="s">
        <v>6198</v>
      </c>
      <c r="C3" s="6" t="s">
        <v>6196</v>
      </c>
      <c r="I3" s="6" t="s">
        <v>7</v>
      </c>
      <c r="J3" t="s">
        <v>6198</v>
      </c>
      <c r="M3" s="6" t="s">
        <v>6221</v>
      </c>
      <c r="N3" t="s">
        <v>6198</v>
      </c>
    </row>
    <row r="4" spans="1:14" x14ac:dyDescent="0.3">
      <c r="A4" s="6" t="s">
        <v>6215</v>
      </c>
      <c r="B4" s="6" t="s">
        <v>6216</v>
      </c>
      <c r="C4" t="s">
        <v>6217</v>
      </c>
      <c r="D4" t="s">
        <v>6218</v>
      </c>
      <c r="E4" t="s">
        <v>6219</v>
      </c>
      <c r="F4" t="s">
        <v>6220</v>
      </c>
      <c r="I4" s="7" t="s">
        <v>28</v>
      </c>
      <c r="J4" s="8">
        <v>2798.5050000000001</v>
      </c>
      <c r="M4" s="7" t="s">
        <v>3753</v>
      </c>
      <c r="N4" s="8">
        <v>278.01</v>
      </c>
    </row>
    <row r="5" spans="1:14" x14ac:dyDescent="0.3">
      <c r="A5" t="s">
        <v>6199</v>
      </c>
      <c r="B5" t="s">
        <v>6203</v>
      </c>
      <c r="C5" s="8">
        <v>186.85499999999999</v>
      </c>
      <c r="D5" s="8">
        <v>305.97000000000003</v>
      </c>
      <c r="E5" s="8">
        <v>213.15999999999997</v>
      </c>
      <c r="F5" s="8">
        <v>123</v>
      </c>
      <c r="I5" s="7" t="s">
        <v>318</v>
      </c>
      <c r="J5" s="8">
        <v>6696.8649999999989</v>
      </c>
      <c r="M5" s="7" t="s">
        <v>1598</v>
      </c>
      <c r="N5" s="8">
        <v>281.67499999999995</v>
      </c>
    </row>
    <row r="6" spans="1:14" x14ac:dyDescent="0.3">
      <c r="B6" t="s">
        <v>6204</v>
      </c>
      <c r="C6" s="8">
        <v>251.96499999999997</v>
      </c>
      <c r="D6" s="8">
        <v>129.46</v>
      </c>
      <c r="E6" s="8">
        <v>434.03999999999996</v>
      </c>
      <c r="F6" s="8">
        <v>171.93999999999997</v>
      </c>
      <c r="I6" s="7" t="s">
        <v>19</v>
      </c>
      <c r="J6" s="8">
        <v>35638.88499999998</v>
      </c>
      <c r="M6" s="7" t="s">
        <v>2587</v>
      </c>
      <c r="N6" s="8">
        <v>289.11</v>
      </c>
    </row>
    <row r="7" spans="1:14" x14ac:dyDescent="0.3">
      <c r="B7" t="s">
        <v>6205</v>
      </c>
      <c r="C7" s="8">
        <v>224.94499999999999</v>
      </c>
      <c r="D7" s="8">
        <v>349.12</v>
      </c>
      <c r="E7" s="8">
        <v>321.04000000000002</v>
      </c>
      <c r="F7" s="8">
        <v>126.035</v>
      </c>
      <c r="M7" s="7" t="s">
        <v>5765</v>
      </c>
      <c r="N7" s="8">
        <v>307.04499999999996</v>
      </c>
    </row>
    <row r="8" spans="1:14" x14ac:dyDescent="0.3">
      <c r="B8" t="s">
        <v>6206</v>
      </c>
      <c r="C8" s="8">
        <v>307.12</v>
      </c>
      <c r="D8" s="8">
        <v>681.07499999999993</v>
      </c>
      <c r="E8" s="8">
        <v>533.70499999999993</v>
      </c>
      <c r="F8" s="8">
        <v>158.85</v>
      </c>
      <c r="M8" s="7" t="s">
        <v>5114</v>
      </c>
      <c r="N8" s="8">
        <v>317.06999999999994</v>
      </c>
    </row>
    <row r="9" spans="1:14" x14ac:dyDescent="0.3">
      <c r="B9" t="s">
        <v>6207</v>
      </c>
      <c r="C9" s="8">
        <v>53.664999999999992</v>
      </c>
      <c r="D9" s="8">
        <v>83.025000000000006</v>
      </c>
      <c r="E9" s="8">
        <v>193.83499999999998</v>
      </c>
      <c r="F9" s="8">
        <v>68.039999999999992</v>
      </c>
    </row>
    <row r="10" spans="1:14" x14ac:dyDescent="0.3">
      <c r="B10" t="s">
        <v>6208</v>
      </c>
      <c r="C10" s="8">
        <v>163.01999999999998</v>
      </c>
      <c r="D10" s="8">
        <v>678.3599999999999</v>
      </c>
      <c r="E10" s="8">
        <v>171.04500000000002</v>
      </c>
      <c r="F10" s="8">
        <v>372.255</v>
      </c>
    </row>
    <row r="11" spans="1:14" x14ac:dyDescent="0.3">
      <c r="B11" t="s">
        <v>6209</v>
      </c>
      <c r="C11" s="8">
        <v>345.02</v>
      </c>
      <c r="D11" s="8">
        <v>273.86999999999995</v>
      </c>
      <c r="E11" s="8">
        <v>184.12999999999997</v>
      </c>
      <c r="F11" s="8">
        <v>201.11499999999998</v>
      </c>
    </row>
    <row r="12" spans="1:14" x14ac:dyDescent="0.3">
      <c r="B12" t="s">
        <v>6210</v>
      </c>
      <c r="C12" s="8">
        <v>334.89</v>
      </c>
      <c r="D12" s="8">
        <v>70.95</v>
      </c>
      <c r="E12" s="8">
        <v>134.23000000000002</v>
      </c>
      <c r="F12" s="8">
        <v>166.27499999999998</v>
      </c>
    </row>
    <row r="13" spans="1:14" x14ac:dyDescent="0.3">
      <c r="B13" t="s">
        <v>6211</v>
      </c>
      <c r="C13" s="8">
        <v>178.70999999999998</v>
      </c>
      <c r="D13" s="8">
        <v>166.1</v>
      </c>
      <c r="E13" s="8">
        <v>439.30999999999995</v>
      </c>
      <c r="F13" s="8">
        <v>492.9</v>
      </c>
    </row>
    <row r="14" spans="1:14" x14ac:dyDescent="0.3">
      <c r="B14" t="s">
        <v>6212</v>
      </c>
      <c r="C14" s="8">
        <v>301.98500000000001</v>
      </c>
      <c r="D14" s="8">
        <v>153.76499999999999</v>
      </c>
      <c r="E14" s="8">
        <v>215.55499999999998</v>
      </c>
      <c r="F14" s="8">
        <v>213.66499999999999</v>
      </c>
    </row>
    <row r="15" spans="1:14" x14ac:dyDescent="0.3">
      <c r="B15" t="s">
        <v>6213</v>
      </c>
      <c r="C15" s="8">
        <v>312.83499999999998</v>
      </c>
      <c r="D15" s="8">
        <v>63.249999999999993</v>
      </c>
      <c r="E15" s="8">
        <v>350.89500000000004</v>
      </c>
      <c r="F15" s="8">
        <v>96.405000000000001</v>
      </c>
    </row>
    <row r="16" spans="1:14" x14ac:dyDescent="0.3">
      <c r="B16" t="s">
        <v>6214</v>
      </c>
      <c r="C16" s="8">
        <v>265.62</v>
      </c>
      <c r="D16" s="8">
        <v>526.51499999999987</v>
      </c>
      <c r="E16" s="8">
        <v>187.06</v>
      </c>
      <c r="F16" s="8">
        <v>210.58999999999997</v>
      </c>
    </row>
    <row r="17" spans="1:6" x14ac:dyDescent="0.3">
      <c r="A17" t="s">
        <v>6200</v>
      </c>
      <c r="B17" t="s">
        <v>6203</v>
      </c>
      <c r="C17" s="8">
        <v>47.25</v>
      </c>
      <c r="D17" s="8">
        <v>65.805000000000007</v>
      </c>
      <c r="E17" s="8">
        <v>274.67500000000001</v>
      </c>
      <c r="F17" s="8">
        <v>179.22</v>
      </c>
    </row>
    <row r="18" spans="1:6" x14ac:dyDescent="0.3">
      <c r="B18" t="s">
        <v>6204</v>
      </c>
      <c r="C18" s="8">
        <v>745.44999999999993</v>
      </c>
      <c r="D18" s="8">
        <v>428.88499999999999</v>
      </c>
      <c r="E18" s="8">
        <v>194.17499999999998</v>
      </c>
      <c r="F18" s="8">
        <v>429.82999999999993</v>
      </c>
    </row>
    <row r="19" spans="1:6" x14ac:dyDescent="0.3">
      <c r="B19" t="s">
        <v>6205</v>
      </c>
      <c r="C19" s="8">
        <v>130.47</v>
      </c>
      <c r="D19" s="8">
        <v>271.48500000000001</v>
      </c>
      <c r="E19" s="8">
        <v>281.20499999999998</v>
      </c>
      <c r="F19" s="8">
        <v>231.63000000000002</v>
      </c>
    </row>
    <row r="20" spans="1:6" x14ac:dyDescent="0.3">
      <c r="B20" t="s">
        <v>6206</v>
      </c>
      <c r="C20" s="8">
        <v>27</v>
      </c>
      <c r="D20" s="8">
        <v>347.26</v>
      </c>
      <c r="E20" s="8">
        <v>147.51</v>
      </c>
      <c r="F20" s="8">
        <v>240.04</v>
      </c>
    </row>
    <row r="21" spans="1:6" x14ac:dyDescent="0.3">
      <c r="B21" t="s">
        <v>6207</v>
      </c>
      <c r="C21" s="8">
        <v>255.11499999999995</v>
      </c>
      <c r="D21" s="8">
        <v>541.73</v>
      </c>
      <c r="E21" s="8">
        <v>83.43</v>
      </c>
      <c r="F21" s="8">
        <v>59.079999999999991</v>
      </c>
    </row>
    <row r="22" spans="1:6" x14ac:dyDescent="0.3">
      <c r="B22" t="s">
        <v>6208</v>
      </c>
      <c r="C22" s="8">
        <v>584.78999999999985</v>
      </c>
      <c r="D22" s="8">
        <v>357.42999999999995</v>
      </c>
      <c r="E22" s="8">
        <v>355.34</v>
      </c>
      <c r="F22" s="8">
        <v>140.88</v>
      </c>
    </row>
    <row r="23" spans="1:6" x14ac:dyDescent="0.3">
      <c r="B23" t="s">
        <v>6209</v>
      </c>
      <c r="C23" s="8">
        <v>430.62</v>
      </c>
      <c r="D23" s="8">
        <v>227.42500000000001</v>
      </c>
      <c r="E23" s="8">
        <v>236.315</v>
      </c>
      <c r="F23" s="8">
        <v>414.58499999999992</v>
      </c>
    </row>
    <row r="24" spans="1:6" x14ac:dyDescent="0.3">
      <c r="B24" t="s">
        <v>6210</v>
      </c>
      <c r="C24" s="8">
        <v>22.5</v>
      </c>
      <c r="D24" s="8">
        <v>77.72</v>
      </c>
      <c r="E24" s="8">
        <v>60.5</v>
      </c>
      <c r="F24" s="8">
        <v>139.67999999999998</v>
      </c>
    </row>
    <row r="25" spans="1:6" x14ac:dyDescent="0.3">
      <c r="B25" t="s">
        <v>6211</v>
      </c>
      <c r="C25" s="8">
        <v>126.14999999999999</v>
      </c>
      <c r="D25" s="8">
        <v>195.11</v>
      </c>
      <c r="E25" s="8">
        <v>89.13</v>
      </c>
      <c r="F25" s="8">
        <v>302.65999999999997</v>
      </c>
    </row>
    <row r="26" spans="1:6" x14ac:dyDescent="0.3">
      <c r="B26" t="s">
        <v>6212</v>
      </c>
      <c r="C26" s="8">
        <v>376.03</v>
      </c>
      <c r="D26" s="8">
        <v>523.24</v>
      </c>
      <c r="E26" s="8">
        <v>440.96499999999997</v>
      </c>
      <c r="F26" s="8">
        <v>174.46999999999997</v>
      </c>
    </row>
    <row r="27" spans="1:6" x14ac:dyDescent="0.3">
      <c r="B27" t="s">
        <v>6213</v>
      </c>
      <c r="C27" s="8">
        <v>515.17999999999995</v>
      </c>
      <c r="D27" s="8">
        <v>142.56</v>
      </c>
      <c r="E27" s="8">
        <v>347.03999999999996</v>
      </c>
      <c r="F27" s="8">
        <v>104.08499999999999</v>
      </c>
    </row>
    <row r="28" spans="1:6" x14ac:dyDescent="0.3">
      <c r="B28" t="s">
        <v>6214</v>
      </c>
      <c r="C28" s="8">
        <v>95.859999999999985</v>
      </c>
      <c r="D28" s="8">
        <v>484.76</v>
      </c>
      <c r="E28" s="8">
        <v>94.17</v>
      </c>
      <c r="F28" s="8">
        <v>77.10499999999999</v>
      </c>
    </row>
    <row r="29" spans="1:6" x14ac:dyDescent="0.3">
      <c r="A29" t="s">
        <v>6201</v>
      </c>
      <c r="B29" t="s">
        <v>6203</v>
      </c>
      <c r="C29" s="8">
        <v>258.34500000000003</v>
      </c>
      <c r="D29" s="8">
        <v>139.625</v>
      </c>
      <c r="E29" s="8">
        <v>279.52000000000004</v>
      </c>
      <c r="F29" s="8">
        <v>160.19499999999999</v>
      </c>
    </row>
    <row r="30" spans="1:6" x14ac:dyDescent="0.3">
      <c r="B30" t="s">
        <v>6204</v>
      </c>
      <c r="C30" s="8">
        <v>342.2</v>
      </c>
      <c r="D30" s="8">
        <v>284.24999999999994</v>
      </c>
      <c r="E30" s="8">
        <v>251.83</v>
      </c>
      <c r="F30" s="8">
        <v>80.550000000000011</v>
      </c>
    </row>
    <row r="31" spans="1:6" x14ac:dyDescent="0.3">
      <c r="B31" t="s">
        <v>6205</v>
      </c>
      <c r="C31" s="8">
        <v>418.30499999999989</v>
      </c>
      <c r="D31" s="8">
        <v>468.125</v>
      </c>
      <c r="E31" s="8">
        <v>405.05500000000006</v>
      </c>
      <c r="F31" s="8">
        <v>253.15499999999997</v>
      </c>
    </row>
    <row r="32" spans="1:6" x14ac:dyDescent="0.3">
      <c r="B32" t="s">
        <v>6206</v>
      </c>
      <c r="C32" s="8">
        <v>102.32999999999998</v>
      </c>
      <c r="D32" s="8">
        <v>242.14000000000001</v>
      </c>
      <c r="E32" s="8">
        <v>554.875</v>
      </c>
      <c r="F32" s="8">
        <v>106.23999999999998</v>
      </c>
    </row>
    <row r="33" spans="1:6" x14ac:dyDescent="0.3">
      <c r="B33" t="s">
        <v>6207</v>
      </c>
      <c r="C33" s="8">
        <v>234.71999999999997</v>
      </c>
      <c r="D33" s="8">
        <v>133.08000000000001</v>
      </c>
      <c r="E33" s="8">
        <v>267.2</v>
      </c>
      <c r="F33" s="8">
        <v>272.68999999999994</v>
      </c>
    </row>
    <row r="34" spans="1:6" x14ac:dyDescent="0.3">
      <c r="B34" t="s">
        <v>6208</v>
      </c>
      <c r="C34" s="8">
        <v>430.39</v>
      </c>
      <c r="D34" s="8">
        <v>136.20500000000001</v>
      </c>
      <c r="E34" s="8">
        <v>209.6</v>
      </c>
      <c r="F34" s="8">
        <v>88.334999999999994</v>
      </c>
    </row>
    <row r="35" spans="1:6" x14ac:dyDescent="0.3">
      <c r="B35" t="s">
        <v>6209</v>
      </c>
      <c r="C35" s="8">
        <v>109.005</v>
      </c>
      <c r="D35" s="8">
        <v>393.57499999999999</v>
      </c>
      <c r="E35" s="8">
        <v>61.034999999999997</v>
      </c>
      <c r="F35" s="8">
        <v>199.48999999999998</v>
      </c>
    </row>
    <row r="36" spans="1:6" x14ac:dyDescent="0.3">
      <c r="B36" t="s">
        <v>6210</v>
      </c>
      <c r="C36" s="8">
        <v>287.52499999999998</v>
      </c>
      <c r="D36" s="8">
        <v>288.67</v>
      </c>
      <c r="E36" s="8">
        <v>125.58</v>
      </c>
      <c r="F36" s="8">
        <v>374.13499999999999</v>
      </c>
    </row>
    <row r="37" spans="1:6" x14ac:dyDescent="0.3">
      <c r="B37" t="s">
        <v>6211</v>
      </c>
      <c r="C37" s="8">
        <v>840.92999999999984</v>
      </c>
      <c r="D37" s="8">
        <v>409.875</v>
      </c>
      <c r="E37" s="8">
        <v>171.32999999999998</v>
      </c>
      <c r="F37" s="8">
        <v>221.43999999999997</v>
      </c>
    </row>
    <row r="38" spans="1:6" x14ac:dyDescent="0.3">
      <c r="B38" t="s">
        <v>6212</v>
      </c>
      <c r="C38" s="8">
        <v>299.07</v>
      </c>
      <c r="D38" s="8">
        <v>260.32499999999999</v>
      </c>
      <c r="E38" s="8">
        <v>584.64</v>
      </c>
      <c r="F38" s="8">
        <v>256.36500000000001</v>
      </c>
    </row>
    <row r="39" spans="1:6" x14ac:dyDescent="0.3">
      <c r="B39" t="s">
        <v>6213</v>
      </c>
      <c r="C39" s="8">
        <v>323.32499999999999</v>
      </c>
      <c r="D39" s="8">
        <v>565.57000000000005</v>
      </c>
      <c r="E39" s="8">
        <v>537.80999999999995</v>
      </c>
      <c r="F39" s="8">
        <v>189.47499999999999</v>
      </c>
    </row>
    <row r="40" spans="1:6" x14ac:dyDescent="0.3">
      <c r="B40" t="s">
        <v>6214</v>
      </c>
      <c r="C40" s="8">
        <v>399.48499999999996</v>
      </c>
      <c r="D40" s="8">
        <v>148.19999999999999</v>
      </c>
      <c r="E40" s="8">
        <v>388.21999999999997</v>
      </c>
      <c r="F40" s="8">
        <v>212.07499999999999</v>
      </c>
    </row>
    <row r="41" spans="1:6" x14ac:dyDescent="0.3">
      <c r="A41" t="s">
        <v>6202</v>
      </c>
      <c r="B41" t="s">
        <v>6203</v>
      </c>
      <c r="C41" s="8">
        <v>112.69499999999999</v>
      </c>
      <c r="D41" s="8">
        <v>166.32</v>
      </c>
      <c r="E41" s="8">
        <v>843.71499999999992</v>
      </c>
      <c r="F41" s="8">
        <v>146.685</v>
      </c>
    </row>
    <row r="42" spans="1:6" x14ac:dyDescent="0.3">
      <c r="B42" t="s">
        <v>6204</v>
      </c>
      <c r="C42" s="8">
        <v>114.87999999999998</v>
      </c>
      <c r="D42" s="8">
        <v>133.815</v>
      </c>
      <c r="E42" s="8">
        <v>91.175000000000011</v>
      </c>
      <c r="F42" s="8">
        <v>53.759999999999991</v>
      </c>
    </row>
    <row r="43" spans="1:6" x14ac:dyDescent="0.3">
      <c r="B43" t="s">
        <v>6205</v>
      </c>
      <c r="C43" s="8">
        <v>277.76</v>
      </c>
      <c r="D43" s="8">
        <v>175.41</v>
      </c>
      <c r="E43" s="8">
        <v>462.50999999999993</v>
      </c>
      <c r="F43" s="8">
        <v>399.52499999999998</v>
      </c>
    </row>
    <row r="44" spans="1:6" x14ac:dyDescent="0.3">
      <c r="B44" t="s">
        <v>6206</v>
      </c>
      <c r="C44" s="8">
        <v>197.89499999999998</v>
      </c>
      <c r="D44" s="8">
        <v>289.755</v>
      </c>
      <c r="E44" s="8">
        <v>88.545000000000002</v>
      </c>
      <c r="F44" s="8">
        <v>200.25499999999997</v>
      </c>
    </row>
    <row r="45" spans="1:6" x14ac:dyDescent="0.3">
      <c r="B45" t="s">
        <v>6207</v>
      </c>
      <c r="C45" s="8">
        <v>193.11499999999998</v>
      </c>
      <c r="D45" s="8">
        <v>212.49499999999998</v>
      </c>
      <c r="E45" s="8">
        <v>292.29000000000002</v>
      </c>
      <c r="F45" s="8">
        <v>304.46999999999997</v>
      </c>
    </row>
    <row r="46" spans="1:6" x14ac:dyDescent="0.3">
      <c r="B46" t="s">
        <v>6208</v>
      </c>
      <c r="C46" s="8">
        <v>179.79</v>
      </c>
      <c r="D46" s="8">
        <v>426.2</v>
      </c>
      <c r="E46" s="8">
        <v>170.08999999999997</v>
      </c>
      <c r="F46" s="8">
        <v>379.31</v>
      </c>
    </row>
    <row r="47" spans="1:6" x14ac:dyDescent="0.3">
      <c r="B47" t="s">
        <v>6209</v>
      </c>
      <c r="C47" s="8">
        <v>247.28999999999996</v>
      </c>
      <c r="D47" s="8">
        <v>246.685</v>
      </c>
      <c r="E47" s="8">
        <v>271.05499999999995</v>
      </c>
      <c r="F47" s="8">
        <v>141.69999999999999</v>
      </c>
    </row>
    <row r="48" spans="1:6" x14ac:dyDescent="0.3">
      <c r="B48" t="s">
        <v>6210</v>
      </c>
      <c r="C48" s="8">
        <v>116.39499999999998</v>
      </c>
      <c r="D48" s="8">
        <v>41.25</v>
      </c>
      <c r="E48" s="8">
        <v>15.54</v>
      </c>
      <c r="F48" s="8">
        <v>71.06</v>
      </c>
    </row>
  </sheetData>
  <mergeCells count="3">
    <mergeCell ref="I2:J2"/>
    <mergeCell ref="M2:N2"/>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1E7AB-4B81-4B6D-96AC-626B3DA2C145}">
  <dimension ref="K1:K17"/>
  <sheetViews>
    <sheetView showGridLines="0" tabSelected="1" topLeftCell="B1" zoomScaleNormal="100" workbookViewId="0">
      <selection activeCell="AA8" sqref="AA8"/>
    </sheetView>
  </sheetViews>
  <sheetFormatPr defaultRowHeight="14.4" x14ac:dyDescent="0.3"/>
  <cols>
    <col min="1" max="1" width="1.77734375" customWidth="1"/>
    <col min="16" max="16" width="0.77734375" customWidth="1"/>
    <col min="19" max="19" width="0.5546875" customWidth="1"/>
    <col min="23" max="23" width="1" customWidth="1"/>
  </cols>
  <sheetData>
    <row r="1" spans="11:11" ht="4.95" customHeight="1" x14ac:dyDescent="0.3"/>
    <row r="6" spans="11:11" ht="5.4" customHeight="1" x14ac:dyDescent="0.3"/>
    <row r="8" spans="11:11" x14ac:dyDescent="0.3">
      <c r="K8" s="9"/>
    </row>
    <row r="11" spans="11:11" ht="6.6" customHeight="1" x14ac:dyDescent="0.3"/>
    <row r="17" ht="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customers</vt:lpstr>
      <vt:lpstr>orders_clean_data</vt:lpstr>
      <vt:lpstr>Pivot_tables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TANVEER AHMAD</cp:lastModifiedBy>
  <cp:revision/>
  <dcterms:created xsi:type="dcterms:W3CDTF">2022-11-26T09:51:45Z</dcterms:created>
  <dcterms:modified xsi:type="dcterms:W3CDTF">2025-09-11T05:32:00Z</dcterms:modified>
  <cp:category/>
  <cp:contentStatus/>
</cp:coreProperties>
</file>